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bug" sheetId="2" r:id="rId6"/>
  </sheets>
  <definedNames>
    <definedName hidden="1" localSheetId="0" name="_xlnm._FilterDatabase">Sheet1!$A$1:$Q$80</definedName>
  </definedNames>
  <calcPr/>
</workbook>
</file>

<file path=xl/sharedStrings.xml><?xml version="1.0" encoding="utf-8"?>
<sst xmlns="http://schemas.openxmlformats.org/spreadsheetml/2006/main" count="1750" uniqueCount="607">
  <si>
    <t>Devotee Name</t>
  </si>
  <si>
    <t>WhatsApp Number</t>
  </si>
  <si>
    <t>Individual Name</t>
  </si>
  <si>
    <t>Age</t>
  </si>
  <si>
    <t>Email</t>
  </si>
  <si>
    <t>Relationship</t>
  </si>
  <si>
    <t>Gender</t>
  </si>
  <si>
    <t>Prasadam Output</t>
  </si>
  <si>
    <t>Languages</t>
  </si>
  <si>
    <t>Seating</t>
  </si>
  <si>
    <t>Chanting</t>
  </si>
  <si>
    <t>Inclination (Old)</t>
  </si>
  <si>
    <t>Spiritual Status</t>
  </si>
  <si>
    <t>Accommodation</t>
  </si>
  <si>
    <t>Concerns</t>
  </si>
  <si>
    <t>Timestamp</t>
  </si>
  <si>
    <t>Payment Link</t>
  </si>
  <si>
    <t>Krishna Kishore Julakanti</t>
  </si>
  <si>
    <t>krishnakishore.julakanti@gmail.com</t>
  </si>
  <si>
    <t>Self</t>
  </si>
  <si>
    <t>Male</t>
  </si>
  <si>
    <t>Normal</t>
  </si>
  <si>
    <t>Hindi, English, Telugu</t>
  </si>
  <si>
    <t>AC</t>
  </si>
  <si>
    <t>Sangameshwar Julakanti</t>
  </si>
  <si>
    <t>Telugu</t>
  </si>
  <si>
    <t>Needs chair</t>
  </si>
  <si>
    <t>Vasantha Rani</t>
  </si>
  <si>
    <t>Female</t>
  </si>
  <si>
    <t>1+</t>
  </si>
  <si>
    <t>Kiranmai Pola</t>
  </si>
  <si>
    <t>Telugu, English</t>
  </si>
  <si>
    <t>Abhishek Pola</t>
  </si>
  <si>
    <t>Telugu, English, Hindi</t>
  </si>
  <si>
    <t>Maheedhar</t>
  </si>
  <si>
    <t>maheedharcherukuri@gmail.com</t>
  </si>
  <si>
    <t>Non AC</t>
  </si>
  <si>
    <t>Amal m das</t>
  </si>
  <si>
    <t>amalmdas.connect@gmail.com</t>
  </si>
  <si>
    <t>Non Spicy</t>
  </si>
  <si>
    <t>English, Hindi</t>
  </si>
  <si>
    <t>Svarupa radhika dd</t>
  </si>
  <si>
    <t>Wife</t>
  </si>
  <si>
    <t>Can sit below</t>
  </si>
  <si>
    <t>Manirupa gopika dd</t>
  </si>
  <si>
    <t>Mother</t>
  </si>
  <si>
    <t>Diabetic</t>
  </si>
  <si>
    <t>Hindi, English</t>
  </si>
  <si>
    <t xml:space="preserve">Sudāma Sakha Das </t>
  </si>
  <si>
    <t>thiru12yuvi@gmail.com</t>
  </si>
  <si>
    <t>English, Telugu, Hindi</t>
  </si>
  <si>
    <t xml:space="preserve">Pranathi Devi </t>
  </si>
  <si>
    <t>English, Telugu</t>
  </si>
  <si>
    <t xml:space="preserve">Achyuta Sevini </t>
  </si>
  <si>
    <t>Daughter</t>
  </si>
  <si>
    <t>ADVAITA PRAANA DASA (Abhishek Mantha)</t>
  </si>
  <si>
    <t>shanmukh.abhishek@gmail.com</t>
  </si>
  <si>
    <t xml:space="preserve">SARASIJA </t>
  </si>
  <si>
    <t>SPOUSE</t>
  </si>
  <si>
    <t>English, Hindi, Telugu</t>
  </si>
  <si>
    <t>4+</t>
  </si>
  <si>
    <t xml:space="preserve">Attended Puri Yatra </t>
  </si>
  <si>
    <t xml:space="preserve">Saloni Kumari </t>
  </si>
  <si>
    <t>kusumkasaudhan0@gmail.com</t>
  </si>
  <si>
    <t>Ninad Rajandekar</t>
  </si>
  <si>
    <t>ninadsidh@gmail.com</t>
  </si>
  <si>
    <t>No</t>
  </si>
  <si>
    <t>Ajey Rajandekar</t>
  </si>
  <si>
    <t>Father</t>
  </si>
  <si>
    <t>Attended previous yatra positively, chanting daily</t>
  </si>
  <si>
    <t>Bhakti Rajandekar</t>
  </si>
  <si>
    <t>Attended previous yatra positively, attends daily chanting session of Swarup Radhika mataji</t>
  </si>
  <si>
    <t>VVN SAI LOKESH</t>
  </si>
  <si>
    <t>sailokeshv@gmail.com</t>
  </si>
  <si>
    <t>V Kavya</t>
  </si>
  <si>
    <t>Spouse</t>
  </si>
  <si>
    <t>Part of GNH Community</t>
  </si>
  <si>
    <t>VSNS APPA RAO</t>
  </si>
  <si>
    <t>Favorable for devotional service and attended all our community yatras</t>
  </si>
  <si>
    <t xml:space="preserve">V VENKATA LAKSHMI </t>
  </si>
  <si>
    <t xml:space="preserve">Mother </t>
  </si>
  <si>
    <t xml:space="preserve">Attended all our yatras and she is favorable </t>
  </si>
  <si>
    <t>Sai Dheeraj</t>
  </si>
  <si>
    <t>saidheeraj22j@gmail.com</t>
  </si>
  <si>
    <r>
      <rPr>
        <rFont val="Arial"/>
        <color rgb="FF1155CC"/>
        <sz val="14.0"/>
        <u/>
      </rPr>
      <t>Payment Link</t>
    </r>
  </si>
  <si>
    <t>Sreenivas Gupta</t>
  </si>
  <si>
    <t>sreenivasgupta3710@gmail.com</t>
  </si>
  <si>
    <t>Vishnu Priyanka</t>
  </si>
  <si>
    <t>Naga Varun Kamichetty</t>
  </si>
  <si>
    <t>knagavarun@gmail.com</t>
  </si>
  <si>
    <t>Manisha K</t>
  </si>
  <si>
    <t>Vignesh</t>
  </si>
  <si>
    <t>samiyappanvignesh@gmail.com</t>
  </si>
  <si>
    <t>English</t>
  </si>
  <si>
    <t>Santhosh Murarikar</t>
  </si>
  <si>
    <t>santosh.murarkar@gmail.com</t>
  </si>
  <si>
    <t>kindly requesting you to provide mandatory seating arrangement for all of my 3 kids during travel in bus/train.</t>
  </si>
  <si>
    <t>Jansi Bai Murarikar</t>
  </si>
  <si>
    <t>Attended yadagirigutta</t>
  </si>
  <si>
    <t>Vanshika Murarikar</t>
  </si>
  <si>
    <t>Hindi</t>
  </si>
  <si>
    <t>Chaitrika Murarikar</t>
  </si>
  <si>
    <t>Anika Murarikar</t>
  </si>
  <si>
    <t>Neeraj Alavelli</t>
  </si>
  <si>
    <t>neerajalavelli@gmail.com</t>
  </si>
  <si>
    <t xml:space="preserve">Kritesh </t>
  </si>
  <si>
    <t>kritesh.singh23@gmail.com</t>
  </si>
  <si>
    <t>Divya ji</t>
  </si>
  <si>
    <t>8+</t>
  </si>
  <si>
    <t xml:space="preserve">She is Chanting 8 rounds , hearing recorded lecture and attending Lecture of a senior Mataji </t>
  </si>
  <si>
    <t>Gopalkrishna</t>
  </si>
  <si>
    <t>nayakgopal1998@gmail.com</t>
  </si>
  <si>
    <t>My brother is coming on Saturday and Sunday only as of now</t>
  </si>
  <si>
    <t xml:space="preserve">Vivek </t>
  </si>
  <si>
    <t xml:space="preserve">Brother </t>
  </si>
  <si>
    <t>Likes to do service and visit holy place,  watch KC drama, less eager to chant and hear.</t>
  </si>
  <si>
    <t xml:space="preserve">Acyuta Kishor Das </t>
  </si>
  <si>
    <t>akshay.joshikc@gmail.com</t>
  </si>
  <si>
    <t xml:space="preserve">Vraja Premika Dasi </t>
  </si>
  <si>
    <t>Attended previous yatra. Initiated currently due to child and household responsibilities unable to finish 16 rounds</t>
  </si>
  <si>
    <t xml:space="preserve">Manjaree </t>
  </si>
  <si>
    <t xml:space="preserve">Daughter </t>
  </si>
  <si>
    <t>Anusha Mannam</t>
  </si>
  <si>
    <t>anushamannam3@gmail.com</t>
  </si>
  <si>
    <t>Srikanth Sambu</t>
  </si>
  <si>
    <t xml:space="preserve">Vrajesh Tanay Das </t>
  </si>
  <si>
    <t>brajesh230395@gmail.com</t>
  </si>
  <si>
    <t>🙏</t>
  </si>
  <si>
    <t>Tejeswini Tanaji Shejwalkar</t>
  </si>
  <si>
    <t>shejwalkartejeswini@gmail.com</t>
  </si>
  <si>
    <t>Rama Satyavathi</t>
  </si>
  <si>
    <t>Very very enthusiastic to come for yatra - she attended last 2 yatras as well</t>
  </si>
  <si>
    <t>Vijay Mukesh</t>
  </si>
  <si>
    <t>Brother</t>
  </si>
  <si>
    <t>Very interested in doing services.</t>
  </si>
  <si>
    <t>Amoghaveerya das</t>
  </si>
  <si>
    <t>amoghaveeryadas@gmail.com</t>
  </si>
  <si>
    <t>Maheswari M</t>
  </si>
  <si>
    <t>Chanting 16 rounds</t>
  </si>
  <si>
    <t>Kishori Radha</t>
  </si>
  <si>
    <t>Attended previous yatra</t>
  </si>
  <si>
    <t>E Rani</t>
  </si>
  <si>
    <t>Ch Ravi Varma</t>
  </si>
  <si>
    <t>Friend</t>
  </si>
  <si>
    <t>In touch with me</t>
  </si>
  <si>
    <t>Ch Srivalli</t>
  </si>
  <si>
    <t>Spouse of Ravi Varma pr</t>
  </si>
  <si>
    <t>Favorable to KC</t>
  </si>
  <si>
    <t>Ch Meenakshi</t>
  </si>
  <si>
    <t>Daughter of Ravi Varma pr</t>
  </si>
  <si>
    <t>Ch Radha Bruhathi</t>
  </si>
  <si>
    <t>Younger daughter of Ravi Varma pr</t>
  </si>
  <si>
    <t>Bighnaraj Panda</t>
  </si>
  <si>
    <t>Student</t>
  </si>
  <si>
    <t>Payal Rath</t>
  </si>
  <si>
    <t>Wife of Bighnaraj</t>
  </si>
  <si>
    <t>Satwik Panda</t>
  </si>
  <si>
    <t>Son of Bighnaraj</t>
  </si>
  <si>
    <t>Sitanatha Prasada Dasa</t>
  </si>
  <si>
    <t>ssvarun100@gmail.com</t>
  </si>
  <si>
    <t>Nagendra Rao</t>
  </si>
  <si>
    <t>Leelavathi</t>
  </si>
  <si>
    <t xml:space="preserve">Meghana Aeligeti </t>
  </si>
  <si>
    <t>meghanaaeligeti@gmail.com</t>
  </si>
  <si>
    <t xml:space="preserve">Greeshma Aeligeti </t>
  </si>
  <si>
    <t>Sister</t>
  </si>
  <si>
    <t xml:space="preserve">Meghana Thallapally </t>
  </si>
  <si>
    <t xml:space="preserve">In touch with HG Amoghveerya prabhuji,  IIT Kanpur </t>
  </si>
  <si>
    <t>Sindhu Harika</t>
  </si>
  <si>
    <t xml:space="preserve">Friend </t>
  </si>
  <si>
    <t xml:space="preserve">In touch with HG Amoghveerya prabhuji,  IIT Kanpur. </t>
  </si>
  <si>
    <t>Swathi</t>
  </si>
  <si>
    <t>In touch with HG Amoghveerya prabhuji,  IIT Kanpur</t>
  </si>
  <si>
    <t>Samsrutha Karnati</t>
  </si>
  <si>
    <t>Karnati Nagamani</t>
  </si>
  <si>
    <t>Friend's family</t>
  </si>
  <si>
    <t>Favourable...</t>
  </si>
  <si>
    <t>Sonam Rajput</t>
  </si>
  <si>
    <t>Vishal Singh</t>
  </si>
  <si>
    <t>Pranshu Sharma</t>
  </si>
  <si>
    <t>BADAM SURESH GOUD</t>
  </si>
  <si>
    <t>sureshgoud.b@gmail.com</t>
  </si>
  <si>
    <t>GADDAM SUJATHA</t>
  </si>
  <si>
    <t>Actively participated in previous yatras and in touch with Manisha Mathaji</t>
  </si>
  <si>
    <t>Datta Sai Vaibhav</t>
  </si>
  <si>
    <t>Son</t>
  </si>
  <si>
    <t>Participated in previous yatras and attends weekly programs. In touch with Varun Prji</t>
  </si>
  <si>
    <t>Kartheek Sai</t>
  </si>
  <si>
    <t>Attended previous yatra and also attends weekly programs</t>
  </si>
  <si>
    <t xml:space="preserve">Kristam preethika </t>
  </si>
  <si>
    <t>preethikristam@gmail.com</t>
  </si>
  <si>
    <t xml:space="preserve">Saurabh Tiwari </t>
  </si>
  <si>
    <t>saurabhtiwari1896@gmail.com</t>
  </si>
  <si>
    <t>Surakhshitha Katha</t>
  </si>
  <si>
    <t>teja.katha24@gmail.com</t>
  </si>
  <si>
    <t>Teja Reddy Katha</t>
  </si>
  <si>
    <t xml:space="preserve">Teja Prabhu </t>
  </si>
  <si>
    <t xml:space="preserve">Giridhar </t>
  </si>
  <si>
    <t>giridharshyam1@gmail.com</t>
  </si>
  <si>
    <t>Neela Shyam</t>
  </si>
  <si>
    <t>Shyam kumar</t>
  </si>
  <si>
    <t xml:space="preserve">Father </t>
  </si>
  <si>
    <t>Favourable, inactive</t>
  </si>
  <si>
    <t>Ruthvik</t>
  </si>
  <si>
    <t>ruthvik.uppara@gmail.com</t>
  </si>
  <si>
    <t>Nehal</t>
  </si>
  <si>
    <t>Durga Lakshmi K</t>
  </si>
  <si>
    <t>Family friend</t>
  </si>
  <si>
    <t>give room with another mataji</t>
  </si>
  <si>
    <t>K Venugopala Rao</t>
  </si>
  <si>
    <t>Favorable to devs</t>
  </si>
  <si>
    <t>N Swarna Latha</t>
  </si>
  <si>
    <t>Anjani kiran</t>
  </si>
  <si>
    <t>anjani.nagella1992@gmail.com</t>
  </si>
  <si>
    <t>Charitha sree</t>
  </si>
  <si>
    <t>Brahmaleela</t>
  </si>
  <si>
    <t>brahmaleela369@gmail.com</t>
  </si>
  <si>
    <t>Niharika  reddy</t>
  </si>
  <si>
    <t>Friend relative</t>
  </si>
  <si>
    <t>Very new, but favourable</t>
  </si>
  <si>
    <t>Bhagya laxmi</t>
  </si>
  <si>
    <t>Mother in law</t>
  </si>
  <si>
    <t>In touch with devotee,attended previous yatras</t>
  </si>
  <si>
    <t>Jayamma</t>
  </si>
  <si>
    <t xml:space="preserve">Grand mother </t>
  </si>
  <si>
    <t>Telugu, Hindi</t>
  </si>
  <si>
    <t>Attended previous yatras,chants regularly,</t>
  </si>
  <si>
    <t xml:space="preserve">Anitha </t>
  </si>
  <si>
    <t>Attended previous yatras</t>
  </si>
  <si>
    <t xml:space="preserve">Nikitha </t>
  </si>
  <si>
    <t xml:space="preserve">Bagya </t>
  </si>
  <si>
    <t xml:space="preserve">Attending to yatra for the first time . unknown to devotees </t>
  </si>
  <si>
    <t xml:space="preserve">Mamatha </t>
  </si>
  <si>
    <t>Attending yatra for the first time</t>
  </si>
  <si>
    <t xml:space="preserve">Sirisha </t>
  </si>
  <si>
    <t>Manemma</t>
  </si>
  <si>
    <t xml:space="preserve">Sister </t>
  </si>
  <si>
    <t xml:space="preserve">Poojitha </t>
  </si>
  <si>
    <t xml:space="preserve">Attended previous yatra </t>
  </si>
  <si>
    <t>KeshammA</t>
  </si>
  <si>
    <t xml:space="preserve">Surendar </t>
  </si>
  <si>
    <t>Father in law</t>
  </si>
  <si>
    <t>Hindi, Telugu</t>
  </si>
  <si>
    <t>In touch with deotees</t>
  </si>
  <si>
    <t xml:space="preserve">Siva Sagar </t>
  </si>
  <si>
    <t>anushachennupati98@gmail.com</t>
  </si>
  <si>
    <t>thank you for these many options and service</t>
  </si>
  <si>
    <t>Anusha S</t>
  </si>
  <si>
    <t xml:space="preserve">Spouse </t>
  </si>
  <si>
    <t xml:space="preserve">Fallen soul wants to purify </t>
  </si>
  <si>
    <t xml:space="preserve">Mahalakshmi </t>
  </si>
  <si>
    <t xml:space="preserve">Acquittance </t>
  </si>
  <si>
    <t xml:space="preserve">Mataji connected to us in Kondapur </t>
  </si>
  <si>
    <t>Padma Ch</t>
  </si>
  <si>
    <t>Anusha mother</t>
  </si>
  <si>
    <t>Attended Mayapur Yatra now chanting 2 rounds</t>
  </si>
  <si>
    <t>Sdv applachari</t>
  </si>
  <si>
    <t>Attends MP at GNH</t>
  </si>
  <si>
    <t>S Hema Lakshmi</t>
  </si>
  <si>
    <t>S Krishna Kireeti</t>
  </si>
  <si>
    <t>Brother in law</t>
  </si>
  <si>
    <t>New to KC but is appreciative</t>
  </si>
  <si>
    <t>S Pallavi</t>
  </si>
  <si>
    <t xml:space="preserve">Sister in law </t>
  </si>
  <si>
    <t>New to KC but appreciative towards Bhakti. Has little basic knowledge of KC</t>
  </si>
  <si>
    <t>Message</t>
  </si>
  <si>
    <t>[doPost] Request received</t>
  </si>
  <si>
    <t>[doPost] postData contentType: text/plain</t>
  </si>
  <si>
    <t>[doPost] postData length: 201125</t>
  </si>
  <si>
    <t>[doPost] Parsed data keys: alone, devotee, paymentFile</t>
  </si>
  <si>
    <t>[doPost] Has paymentFile: true</t>
  </si>
  <si>
    <t>[doPost] paymentFile.name: TransactionReceipt2660824052671663934.jpeg</t>
  </si>
  <si>
    <t>[doPost] paymentFile.mimeType: image/jpeg</t>
  </si>
  <si>
    <t>[doPost] paymentFile.data length: 200784</t>
  </si>
  <si>
    <t>[upload] Starting file upload to Drive</t>
  </si>
  <si>
    <t>[upload] File name: TransactionReceipt2660824052671663934.jpeg</t>
  </si>
  <si>
    <t>[upload] File mimeType: image/jpeg</t>
  </si>
  <si>
    <t>[upload] File data length: 200784</t>
  </si>
  <si>
    <t>[upload] Looking for folder "GNH Yatra Payments"</t>
  </si>
  <si>
    <t>[upload] Found existing folder, id: 1k3GXq-ewcOMchygS0Uj2SdPvNrACirPa</t>
  </si>
  <si>
    <t>[upload] Decoding base64 data...</t>
  </si>
  <si>
    <t>[upload] Decoded bytes length: 150588</t>
  </si>
  <si>
    <t>[upload] Blob created successfully</t>
  </si>
  <si>
    <t>[upload] File uploaded successfully, URL: https://drive.google.com/file/d/1Jov9MoY02J4Kj00H4_niIGzesS6SB1za/view?usp=drivesdk</t>
  </si>
  <si>
    <t>[doPost] processSubmission completed, result: {"rowsAdded":1,"startRow":2}</t>
  </si>
  <si>
    <t>[doPost] postData length: 63757</t>
  </si>
  <si>
    <t>[doPost] Parsed data keys: alone, devotee, family, paymentFile</t>
  </si>
  <si>
    <t>[doPost] paymentFile.name: IMG-20260424-WA0003.jpg</t>
  </si>
  <si>
    <t>[doPost] paymentFile.data length: 62984</t>
  </si>
  <si>
    <t>[upload] File name: IMG-20260424-WA0003.jpg</t>
  </si>
  <si>
    <t>[upload] File data length: 62984</t>
  </si>
  <si>
    <t>[upload] Decoded bytes length: 47238</t>
  </si>
  <si>
    <t>[upload] File uploaded successfully, URL: https://drive.google.com/file/d/11jQ_X-AIHsMdlKrAl_LBubvzNq-Tht8O/view?usp=drivesdk</t>
  </si>
  <si>
    <t>[doPost] processSubmission completed, result: {"rowsAdded":3,"startRow":3}</t>
  </si>
  <si>
    <t>[doPost] postData length: 303271</t>
  </si>
  <si>
    <t>[doPost] paymentFile.name: Screenshot_20260424_081301_GPay.jpg</t>
  </si>
  <si>
    <t>[doPost] paymentFile.data length: 302496</t>
  </si>
  <si>
    <t>[upload] File name: Screenshot_20260424_081301_GPay.jpg</t>
  </si>
  <si>
    <t>[upload] File data length: 302496</t>
  </si>
  <si>
    <t>[upload] Decoded bytes length: 226872</t>
  </si>
  <si>
    <t>[upload] File uploaded successfully, URL: https://drive.google.com/file/d/1bapUArLtL8O1iHyeLKcT2QCdN3RS2h6G/view?usp=drivesdk</t>
  </si>
  <si>
    <t>[doPost] processSubmission completed, result: {"rowsAdded":3,"startRow":6}</t>
  </si>
  <si>
    <t>[doPost] postData length: 168977</t>
  </si>
  <si>
    <t>[doPost] paymentFile.name: 9th_Assignment_Dist_&amp;_Disp.pdf</t>
  </si>
  <si>
    <t>[doPost] paymentFile.mimeType: application/pdf</t>
  </si>
  <si>
    <t>[doPost] paymentFile.data length: 168480</t>
  </si>
  <si>
    <t>[upload] File name: 9th_Assignment_Dist_&amp;_Disp.pdf</t>
  </si>
  <si>
    <t>[upload] File mimeType: application/pdf</t>
  </si>
  <si>
    <t>[upload] File data length: 168480</t>
  </si>
  <si>
    <t>[upload] Decoded bytes length: 126360</t>
  </si>
  <si>
    <t>[upload] File uploaded successfully, URL: https://drive.google.com/file/d/1s6F34cthtnZCXD0biGgSdh3etsEQBYz4/view?usp=drivesdk</t>
  </si>
  <si>
    <t>[doPost] processSubmission completed, result: {"rowsAdded":2,"startRow":9}</t>
  </si>
  <si>
    <t>[doPost] postData length: 168968</t>
  </si>
  <si>
    <t>[upload] File uploaded successfully, URL: https://drive.google.com/file/d/1a4q6KhuM91lkRWV7YNSOEPLYwbAydT_F/view?usp=drivesdk</t>
  </si>
  <si>
    <t>[doPost] postData length: 55541</t>
  </si>
  <si>
    <t>[doPost] paymentFile.name: WhatsApp Image 2026-04-25 at 8.09.43 AM.jpeg</t>
  </si>
  <si>
    <t>[doPost] paymentFile.data length: 54920</t>
  </si>
  <si>
    <t>[upload] File name: WhatsApp Image 2026-04-25 at 8.09.43 AM.jpeg</t>
  </si>
  <si>
    <t>[upload] File data length: 54920</t>
  </si>
  <si>
    <t>[upload] Decoded bytes length: 41190</t>
  </si>
  <si>
    <t>[upload] File uploaded successfully, URL: https://drive.google.com/file/d/198Fd9ncQ20pHFdrsD3NtPtkcE5R1zoIc/view?usp=drivesdk</t>
  </si>
  <si>
    <t>[doPost] postData length: 226461</t>
  </si>
  <si>
    <t>[doPost] paymentFile.name: Screenshot_2026-04-26-14-52-39-665_com.phonepe.app.jpg</t>
  </si>
  <si>
    <t>[doPost] paymentFile.data length: 226116</t>
  </si>
  <si>
    <t>[upload] File name: Screenshot_2026-04-26-14-52-39-665_com.phonepe.app.jpg</t>
  </si>
  <si>
    <t>[upload] File data length: 226116</t>
  </si>
  <si>
    <t>[upload] Decoded bytes length: 169586</t>
  </si>
  <si>
    <t>[upload] File uploaded successfully, URL: https://drive.google.com/file/d/1gyyvUFOpNJacX4j28PIkHcF7yEEFq1Bx/view?usp=drivesdk</t>
  </si>
  <si>
    <t>[doPost] processSubmission completed, result: {"rowsAdded":1,"startRow":11}</t>
  </si>
  <si>
    <t>[doPost] postData length: 107376</t>
  </si>
  <si>
    <t>[doPost] paymentFile.name: WhatsApp Image 2026-04-27 at 4.53.58 PM.jpeg</t>
  </si>
  <si>
    <t>[doPost] paymentFile.data length: 106448</t>
  </si>
  <si>
    <t>[upload] File name: WhatsApp Image 2026-04-27 at 4.53.58 PM.jpeg</t>
  </si>
  <si>
    <t>[upload] File data length: 106448</t>
  </si>
  <si>
    <t>[upload] Decoded bytes length: 79835</t>
  </si>
  <si>
    <t>[upload] File uploaded successfully, URL: https://drive.google.com/file/d/1n2Uc3UtoKo2LXK8VXII69pcB_aEqwIM7/view?usp=drivesdk</t>
  </si>
  <si>
    <t>[doPost] processSubmission completed, result: {"rowsAdded":3,"startRow":12}</t>
  </si>
  <si>
    <t>[doPost] postData length: 280538</t>
  </si>
  <si>
    <t>[doPost] paymentFile.name: Screenshot_2026-04-28-07-34-46-614_com.phonepe.app.jpg</t>
  </si>
  <si>
    <t>[doPost] paymentFile.data length: 279944</t>
  </si>
  <si>
    <t>[upload] File name: Screenshot_2026-04-28-07-34-46-614_com.phonepe.app.jpg</t>
  </si>
  <si>
    <t>[upload] File data length: 279944</t>
  </si>
  <si>
    <t>[upload] Decoded bytes length: 209956</t>
  </si>
  <si>
    <t>[upload] File uploaded successfully, URL: https://drive.google.com/file/d/1ugLGcfHYzVM5iJO0dpoHG8dz5H-YeA3A/view?usp=drivesdk</t>
  </si>
  <si>
    <t>[doPost] processSubmission completed, result: {"rowsAdded":2,"startRow":15}</t>
  </si>
  <si>
    <t>[doPost] postData length: 707147</t>
  </si>
  <si>
    <t>[doPost] paymentFile.name: Screenshot_2026-04-28-07-39-23-251_com.phonepe.app.jpg</t>
  </si>
  <si>
    <t>[doPost] paymentFile.data length: 706252</t>
  </si>
  <si>
    <t>[upload] File name: Screenshot_2026-04-28-07-39-23-251_com.phonepe.app.jpg</t>
  </si>
  <si>
    <t>[upload] File data length: 706252</t>
  </si>
  <si>
    <t>[upload] Decoded bytes length: 529687</t>
  </si>
  <si>
    <t>[upload] File uploaded successfully, URL: https://drive.google.com/file/d/16K_X3BhKCQU3LT-CYRc5m-4AhKk7T34n/view?usp=drivesdk</t>
  </si>
  <si>
    <t>[doPost] processSubmission completed, result: {"rowsAdded":2,"startRow":17}</t>
  </si>
  <si>
    <t>[doPost] postData length: 270506</t>
  </si>
  <si>
    <t>[doPost] paymentFile.name: Screenshot_2026-04-28-07-40-22-205_com.whatsapp.jpg</t>
  </si>
  <si>
    <t>[doPost] paymentFile.data length: 270160</t>
  </si>
  <si>
    <t>[upload] File name: Screenshot_2026-04-28-07-40-22-205_com.whatsapp.jpg</t>
  </si>
  <si>
    <t>[upload] File data length: 270160</t>
  </si>
  <si>
    <t>[upload] Decoded bytes length: 202618</t>
  </si>
  <si>
    <t>[upload] File uploaded successfully, URL: https://drive.google.com/file/d/1DlcBChsQuER4rH_aPlzBo2wvv8-KePk5/view?usp=drivesdk</t>
  </si>
  <si>
    <t>[doPost] processSubmission completed, result: {"rowsAdded":1,"startRow":19}</t>
  </si>
  <si>
    <t>[upload] File uploaded successfully, URL: https://drive.google.com/file/d/16_pI9S4yZzU37pjC6GppnJ0LgLUf2xir/view?usp=drivesdk</t>
  </si>
  <si>
    <t>[doPost] processSubmission completed, result: {"rowsAdded":0,"startRow":20}</t>
  </si>
  <si>
    <t>[doPost] postData length: 524045</t>
  </si>
  <si>
    <t>[doPost] paymentFile.name: Screenshot_2026-04-28-07-42-04-878_com.phonepe.app.jpg</t>
  </si>
  <si>
    <t>[doPost] paymentFile.data length: 523456</t>
  </si>
  <si>
    <t>[upload] File name: Screenshot_2026-04-28-07-42-04-878_com.phonepe.app.jpg</t>
  </si>
  <si>
    <t>[upload] File data length: 523456</t>
  </si>
  <si>
    <t>[upload] Decoded bytes length: 392592</t>
  </si>
  <si>
    <t>[upload] File uploaded successfully, URL: https://drive.google.com/file/d/1L3_nwkfxSpegiH1VUIjr03BwIIEx6reu/view?usp=drivesdk</t>
  </si>
  <si>
    <t>[doPost] processSubmission completed, result: {"rowsAdded":2,"startRow":20}</t>
  </si>
  <si>
    <t>[doPost] postData length: 98646</t>
  </si>
  <si>
    <t>[doPost] paymentFile.name: payment_confirmation_202604119-110205.png</t>
  </si>
  <si>
    <t>[doPost] paymentFile.mimeType: image/png</t>
  </si>
  <si>
    <t>[doPost] paymentFile.data length: 98072</t>
  </si>
  <si>
    <t>[upload] File name: payment_confirmation_202604119-110205.png</t>
  </si>
  <si>
    <t>[upload] File mimeType: image/png</t>
  </si>
  <si>
    <t>[upload] File data length: 98072</t>
  </si>
  <si>
    <t>[upload] Decoded bytes length: 73554</t>
  </si>
  <si>
    <t>[upload] File uploaded successfully, URL: https://drive.google.com/file/d/15Jwe5yMv4E6_YMnRe8CgE45us_RUzkoC/view?usp=drivesdk</t>
  </si>
  <si>
    <t>[doPost] processSubmission completed, result: {"rowsAdded":2,"startRow":22}</t>
  </si>
  <si>
    <t>[doPost] postData length: 62155</t>
  </si>
  <si>
    <t>[doPost] paymentFile.name: VigneshHampiYatra.jpeg</t>
  </si>
  <si>
    <t>[doPost] paymentFile.data length: 61852</t>
  </si>
  <si>
    <t>[upload] File name: VigneshHampiYatra.jpeg</t>
  </si>
  <si>
    <t>[upload] File data length: 61852</t>
  </si>
  <si>
    <t>[upload] Decoded bytes length: 46387</t>
  </si>
  <si>
    <t>[upload] File uploaded successfully, URL: https://drive.google.com/file/d/1SFJeu1D8T7b37qkk8KRrMZo-CZzNk-b9/view?usp=drivesdk</t>
  </si>
  <si>
    <t>[doPost] processSubmission completed, result: {"rowsAdded":1,"startRow":24}</t>
  </si>
  <si>
    <t>[doPost] postData length: 101218</t>
  </si>
  <si>
    <t>[doPost] paymentFile.name: WhatsApp Image 2026-04-30 at 12.39.59 PM.jpeg</t>
  </si>
  <si>
    <t>[doPost] paymentFile.data length: 99768</t>
  </si>
  <si>
    <t>[upload] File name: WhatsApp Image 2026-04-30 at 12.39.59 PM.jpeg</t>
  </si>
  <si>
    <t>[upload] File data length: 99768</t>
  </si>
  <si>
    <t>[upload] Decoded bytes length: 74824</t>
  </si>
  <si>
    <t>[upload] File uploaded successfully, URL: https://drive.google.com/file/d/1OwwpOme6K9Zg0aPyWc56cPSCnbCOM8FJ/view?usp=drivesdk</t>
  </si>
  <si>
    <t>[doPost] processSubmission completed, result: {"rowsAdded":5,"startRow":25}</t>
  </si>
  <si>
    <t>[doPost] postData length: 121236</t>
  </si>
  <si>
    <t>[doPost] paymentFile.name: IMG-20260430-WA0012.jpg</t>
  </si>
  <si>
    <t>[doPost] paymentFile.data length: 120916</t>
  </si>
  <si>
    <t>[upload] File name: IMG-20260430-WA0012.jpg</t>
  </si>
  <si>
    <t>[upload] File data length: 120916</t>
  </si>
  <si>
    <t>[upload] Decoded bytes length: 90687</t>
  </si>
  <si>
    <t>[upload] File uploaded successfully, URL: https://drive.google.com/file/d/1x10FNHAX2gls_JSVp899zD2qsqT3OPwb/view?usp=drivesdk</t>
  </si>
  <si>
    <t>[doPost] processSubmission completed, result: {"rowsAdded":1,"startRow":30}</t>
  </si>
  <si>
    <t>[doPost] postData length: 449243</t>
  </si>
  <si>
    <t>[doPost] paymentFile.name: Screenshot_20260430_162945_WhatsApp.jpg</t>
  </si>
  <si>
    <t>[doPost] paymentFile.data length: 448600</t>
  </si>
  <si>
    <t>[upload] File name: Screenshot_20260430_162945_WhatsApp.jpg</t>
  </si>
  <si>
    <t>[upload] File data length: 448600</t>
  </si>
  <si>
    <t>[upload] Decoded bytes length: 336449</t>
  </si>
  <si>
    <t>[upload] File uploaded successfully, URL: https://drive.google.com/file/d/1w32zbx3SRYmcekomixKZUnufLAmBgSXr/view?usp=drivesdk</t>
  </si>
  <si>
    <t>[doPost] processSubmission completed, result: {"rowsAdded":2,"startRow":31}</t>
  </si>
  <si>
    <t>[doPost] postData length: 51035</t>
  </si>
  <si>
    <t>[doPost] paymentFile.name: IMG-20260430-WA0029.jpg</t>
  </si>
  <si>
    <t>[doPost] paymentFile.data length: 50356</t>
  </si>
  <si>
    <t>[upload] File name: IMG-20260430-WA0029.jpg</t>
  </si>
  <si>
    <t>[upload] File data length: 50356</t>
  </si>
  <si>
    <t>[upload] Decoded bytes length: 37767</t>
  </si>
  <si>
    <t>[upload] File uploaded successfully, URL: https://drive.google.com/file/d/10mSWxFajC5yCWO8ghyCi5zuaSbuWFQnv/view?usp=drivesdk</t>
  </si>
  <si>
    <t>[doPost] processSubmission completed, result: {"rowsAdded":2,"startRow":33}</t>
  </si>
  <si>
    <t>[doPost] postData length: 66550</t>
  </si>
  <si>
    <t>[doPost] paymentFile.name: IMG-20260430-WA0006.jpg</t>
  </si>
  <si>
    <t>[doPost] paymentFile.data length: 65640</t>
  </si>
  <si>
    <t>[upload] File name: IMG-20260430-WA0006.jpg</t>
  </si>
  <si>
    <t>[upload] File data length: 65640</t>
  </si>
  <si>
    <t>[upload] Decoded bytes length: 49228</t>
  </si>
  <si>
    <t>[upload] File uploaded successfully, URL: https://drive.google.com/file/d/1eNNRzv_d399JBYzoSTOK9ig4O8E7xuRb/view?usp=drivesdk</t>
  </si>
  <si>
    <t>[doPost] processSubmission completed, result: {"rowsAdded":3,"startRow":35}</t>
  </si>
  <si>
    <t>[doPost] postData length: 312582</t>
  </si>
  <si>
    <t>[doPost] paymentFile.name: Screenshot_2026-04-30-20-41-05-73_944a2809ea1b4cda6ef12d1db9048ed3.jpg</t>
  </si>
  <si>
    <t>[doPost] paymentFile.data length: 311968</t>
  </si>
  <si>
    <t>[upload] File name: Screenshot_2026-04-30-20-41-05-73_944a2809ea1b4cda6ef12d1db9048ed3.jpg</t>
  </si>
  <si>
    <t>[upload] File data length: 311968</t>
  </si>
  <si>
    <t>[upload] Decoded bytes length: 233975</t>
  </si>
  <si>
    <t>[upload] File uploaded successfully, URL: https://drive.google.com/file/d/1KymiBiZaDBhvqBUIm_s2W3nEAm0XDj4n/view?usp=drivesdk</t>
  </si>
  <si>
    <t>[doPost] processSubmission completed, result: {"rowsAdded":2,"startRow":38}</t>
  </si>
  <si>
    <t>[doPost] postData length: 451891</t>
  </si>
  <si>
    <t>[doPost] paymentFile.name: Screenshot_2026-05-02-08-23-57-91_944a2809ea1b4cda6ef12d1db9048ed3.jpg</t>
  </si>
  <si>
    <t>[doPost] paymentFile.data length: 451524</t>
  </si>
  <si>
    <t>[upload] File name: Screenshot_2026-05-02-08-23-57-91_944a2809ea1b4cda6ef12d1db9048ed3.jpg</t>
  </si>
  <si>
    <t>[upload] File data length: 451524</t>
  </si>
  <si>
    <t>[upload] Decoded bytes length: 338641</t>
  </si>
  <si>
    <t>[upload] File uploaded successfully, URL: https://drive.google.com/file/d/17X3uplILeurnVlorjXpc8SKTrqHW9OE0/view?usp=drivesdk</t>
  </si>
  <si>
    <t>[doPost] processSubmission completed, result: {"rowsAdded":1,"startRow":40}</t>
  </si>
  <si>
    <t>[doPost] postData length: 44629</t>
  </si>
  <si>
    <t>[doPost] paymentFile.name: Hampi Yatra receipt.jpeg</t>
  </si>
  <si>
    <t>[doPost] paymentFile.data length: 44300</t>
  </si>
  <si>
    <t>[upload] File name: Hampi Yatra receipt.jpeg</t>
  </si>
  <si>
    <t>[upload] File data length: 44300</t>
  </si>
  <si>
    <t>[upload] Decoded bytes length: 33224</t>
  </si>
  <si>
    <t>[upload] File uploaded successfully, URL: https://drive.google.com/file/d/1g_N3J8s3bD5dWcwLC6crWY3FA3bCbv4c/view?usp=drivesdk</t>
  </si>
  <si>
    <t>[doPost] processSubmission completed, result: {"rowsAdded":1,"startRow":41}</t>
  </si>
  <si>
    <t>[doPost] postData length: 295377</t>
  </si>
  <si>
    <t>[doPost] paymentFile.name: Screenshot_2026-05-02-16-50-04-513_com.whatsapp.jpg</t>
  </si>
  <si>
    <t>[doPost] paymentFile.data length: 294456</t>
  </si>
  <si>
    <t>[upload] File name: Screenshot_2026-05-02-16-50-04-513_com.whatsapp.jpg</t>
  </si>
  <si>
    <t>[upload] File data length: 294456</t>
  </si>
  <si>
    <t>[upload] Decoded bytes length: 220840</t>
  </si>
  <si>
    <t>[upload] File uploaded successfully, URL: https://drive.google.com/file/d/1WyhIXJe7LsE_6BEUw1BeLKOtN7eF-wZx/view?usp=drivesdk</t>
  </si>
  <si>
    <t>[doPost] processSubmission completed, result: {"rowsAdded":2,"startRow":42}</t>
  </si>
  <si>
    <t>[doPost] postData length: 64966</t>
  </si>
  <si>
    <t>[doPost] paymentFile.name: Payment1.jpeg</t>
  </si>
  <si>
    <t>[doPost] paymentFile.data length: 62180</t>
  </si>
  <si>
    <t>[upload] File name: Payment1.jpeg</t>
  </si>
  <si>
    <t>[upload] File data length: 62180</t>
  </si>
  <si>
    <t>[upload] Decoded bytes length: 46635</t>
  </si>
  <si>
    <t>[upload] File uploaded successfully, URL: https://drive.google.com/file/d/1B7qoZVbtQ_SYN55sNbNiSjtHSUI_h9aa/view?usp=drivesdk</t>
  </si>
  <si>
    <t>[doPost] processSubmission completed, result: {"rowsAdded":11,"startRow":44}</t>
  </si>
  <si>
    <t>[doPost] postData length: 44267</t>
  </si>
  <si>
    <t>[doPost] paymentFile.name: hampi yatra advance.jpeg</t>
  </si>
  <si>
    <t>[doPost] paymentFile.data length: 43476</t>
  </si>
  <si>
    <t>[upload] File name: hampi yatra advance.jpeg</t>
  </si>
  <si>
    <t>[upload] File data length: 43476</t>
  </si>
  <si>
    <t>[upload] Decoded bytes length: 32607</t>
  </si>
  <si>
    <t>[upload] File uploaded successfully, URL: https://drive.google.com/file/d/1zuORZDxc0fDYII9FTM5vKiyBHLaOu2bI/view?usp=drivesdk</t>
  </si>
  <si>
    <t>[doPost] processSubmission completed, result: {"rowsAdded":3,"startRow":55}</t>
  </si>
  <si>
    <t>[doPost] postData length: 111302</t>
  </si>
  <si>
    <t>[doPost] paymentFile.name: IMG-20260504-WA0006.jpg</t>
  </si>
  <si>
    <t>[doPost] paymentFile.data length: 108512</t>
  </si>
  <si>
    <t>[upload] File name: IMG-20260504-WA0006.jpg</t>
  </si>
  <si>
    <t>[upload] File data length: 108512</t>
  </si>
  <si>
    <t>[upload] Decoded bytes length: 81382</t>
  </si>
  <si>
    <t>[upload] File uploaded successfully, URL: https://drive.google.com/file/d/1iXFJfUSEirrU9L9OQa-SMmMsMp6Wh3PZ/view?usp=drivesdk</t>
  </si>
  <si>
    <t>[doPost] processSubmission completed, result: {"rowsAdded":10,"startRow":58}</t>
  </si>
  <si>
    <t>[doPost] postData length: 61542</t>
  </si>
  <si>
    <t>[doPost] paymentFile.name: WhatsApp Image 2026-05-06 at 1.49.39 PM.jpeg</t>
  </si>
  <si>
    <t>[doPost] paymentFile.data length: 60304</t>
  </si>
  <si>
    <t>[upload] File name: WhatsApp Image 2026-05-06 at 1.49.39 PM.jpeg</t>
  </si>
  <si>
    <t>[upload] File data length: 60304</t>
  </si>
  <si>
    <t>[upload] Decoded bytes length: 45228</t>
  </si>
  <si>
    <t>[upload] File uploaded successfully, URL: https://drive.google.com/file/d/18mWqOXt-Qq63KAFwLcgajeY_E8BS_ydC/view?usp=drivesdk</t>
  </si>
  <si>
    <t>[doPost] processSubmission completed, result: {"rowsAdded":4,"startRow":68}</t>
  </si>
  <si>
    <t>[doPost] postData length: 38829</t>
  </si>
  <si>
    <t>[doPost] paymentFile.name: IMG-20260506-WA0001.jpg</t>
  </si>
  <si>
    <t>[doPost] paymentFile.data length: 38500</t>
  </si>
  <si>
    <t>[upload] File name: IMG-20260506-WA0001.jpg</t>
  </si>
  <si>
    <t>[upload] File data length: 38500</t>
  </si>
  <si>
    <t>[upload] Decoded bytes length: 28874</t>
  </si>
  <si>
    <t>[upload] File uploaded successfully, URL: https://drive.google.com/file/d/1vitGVDqBAGUurtbNKFYrJCLw9rbpOjsL/view?usp=drivesdk</t>
  </si>
  <si>
    <t>[doPost] processSubmission completed, result: {"rowsAdded":1,"startRow":72}</t>
  </si>
  <si>
    <t>[doPost] postData length: 316326</t>
  </si>
  <si>
    <t>[doPost] paymentFile.name: Screenshot_2026-05-06-18-44-07-601_com.phonepe.app.jpg</t>
  </si>
  <si>
    <t>[doPost] paymentFile.data length: 315976</t>
  </si>
  <si>
    <t>[upload] File name: Screenshot_2026-05-06-18-44-07-601_com.phonepe.app.jpg</t>
  </si>
  <si>
    <t>[upload] File data length: 315976</t>
  </si>
  <si>
    <t>[upload] Decoded bytes length: 236982</t>
  </si>
  <si>
    <t>[upload] File uploaded successfully, URL: https://drive.google.com/file/d/1u-gOkn78wkeTvs927HBu7METSbCyC6i2/view?usp=drivesdk</t>
  </si>
  <si>
    <t>[doPost] processSubmission completed, result: {"rowsAdded":1,"startRow":73}</t>
  </si>
  <si>
    <t>[doPost] postData length: 124541</t>
  </si>
  <si>
    <t>[doPost] paymentFile.name: 0c57f1fd-47e8-4caa-8f86-05550c110034.jpeg</t>
  </si>
  <si>
    <t>[doPost] paymentFile.data length: 123948</t>
  </si>
  <si>
    <t>[upload] File name: 0c57f1fd-47e8-4caa-8f86-05550c110034.jpeg</t>
  </si>
  <si>
    <t>[upload] File data length: 123948</t>
  </si>
  <si>
    <t>[upload] Decoded bytes length: 92961</t>
  </si>
  <si>
    <t>[upload] File uploaded successfully, URL: https://drive.google.com/file/d/1WrhgbndYgPAevGM2zLkmnp1DpX82xryR/view?usp=drivesdk</t>
  </si>
  <si>
    <t>[doPost] processSubmission completed, result: {"rowsAdded":2,"startRow":74}</t>
  </si>
  <si>
    <t>[doPost] postData length: 61642</t>
  </si>
  <si>
    <t>[doPost] paymentFile.name: IMG-20260507-WA0000.jpg</t>
  </si>
  <si>
    <t>[doPost] paymentFile.data length: 60844</t>
  </si>
  <si>
    <t>[upload] File name: IMG-20260507-WA0000.jpg</t>
  </si>
  <si>
    <t>[upload] File data length: 60844</t>
  </si>
  <si>
    <t>[upload] Decoded bytes length: 45633</t>
  </si>
  <si>
    <t>[upload] File uploaded successfully, URL: https://drive.google.com/file/d/1U1U3ieNHEj7z2c7smtbGg4_qhY5UPjR6/view?usp=drivesdk</t>
  </si>
  <si>
    <t>[doPost] processSubmission completed, result: {"rowsAdded":3,"startRow":81}</t>
  </si>
  <si>
    <t>[doPost] postData length: 277106</t>
  </si>
  <si>
    <t>[doPost] paymentFile.name: payment confirmation gnh hampi 2026 yatra .png</t>
  </si>
  <si>
    <t>[doPost] paymentFile.data length: 276548</t>
  </si>
  <si>
    <t>[upload] File name: payment confirmation gnh hampi 2026 yatra .png</t>
  </si>
  <si>
    <t>[upload] File data length: 276548</t>
  </si>
  <si>
    <t>[upload] Decoded bytes length: 207409</t>
  </si>
  <si>
    <t>[upload] File uploaded successfully, URL: https://drive.google.com/file/d/1tFjYnss6QzH4ztUXGW7XH_NJgS-W9BLA/view?usp=drivesdk</t>
  </si>
  <si>
    <t>[doPost] processSubmission completed, result: {"rowsAdded":2,"startRow":84}</t>
  </si>
  <si>
    <t>[doPost] postData length: 58115</t>
  </si>
  <si>
    <t>[doPost] paymentFile.name: hampi yatra advance 1.jpeg</t>
  </si>
  <si>
    <t>[doPost] paymentFile.data length: 57500</t>
  </si>
  <si>
    <t>[upload] File name: hampi yatra advance 1.jpeg</t>
  </si>
  <si>
    <t>[upload] File data length: 57500</t>
  </si>
  <si>
    <t>[upload] Decoded bytes length: 43125</t>
  </si>
  <si>
    <t>[upload] File uploaded successfully, URL: https://drive.google.com/file/d/1C0DspZOkk7Dbrpf3hJa3mkYX0iG_OfAN/view?usp=drivesdk</t>
  </si>
  <si>
    <t>[doPost] processSubmission completed, result: {"rowsAdded":1,"startRow":86}</t>
  </si>
  <si>
    <t>[doPost] postData length: 61492</t>
  </si>
  <si>
    <t>[doPost] paymentFile.name: WhatsApp Image 2026-05-09 at 1.24.17 PM.jpeg</t>
  </si>
  <si>
    <t>[doPost] paymentFile.data length: 60680</t>
  </si>
  <si>
    <t>[upload] File name: WhatsApp Image 2026-05-09 at 1.24.17 PM.jpeg</t>
  </si>
  <si>
    <t>[upload] File data length: 60680</t>
  </si>
  <si>
    <t>[upload] Decoded bytes length: 45510</t>
  </si>
  <si>
    <t>[upload] File uploaded successfully, URL: https://drive.google.com/file/d/11cDYyqzsR19OW1csbNXoRg4R4PrjBlyA/view?usp=drivesdk</t>
  </si>
  <si>
    <t>[doPost] processSubmission completed, result: {"rowsAdded":2,"startRow":87}</t>
  </si>
  <si>
    <t>[doPost] postData length: 1032079</t>
  </si>
  <si>
    <t>[doPost] paymentFile.name: Dieties.jpg</t>
  </si>
  <si>
    <t>[doPost] paymentFile.data length: 1031600</t>
  </si>
  <si>
    <t>[upload] File name: Dieties.jpg</t>
  </si>
  <si>
    <t>[upload] File data length: 1031600</t>
  </si>
  <si>
    <t>[upload] Decoded bytes length: 773700</t>
  </si>
  <si>
    <t>[upload] File uploaded successfully, URL: https://drive.google.com/file/d/1xGSbADitMpYfwBxtxeoC_TYy_cGPaH-h/view?usp=drivesdk</t>
  </si>
  <si>
    <t>[doPost] processSubmission completed, result: {"rowsAdded":1,"startRow":89}</t>
  </si>
  <si>
    <t>[doPost] postData length: 748411</t>
  </si>
  <si>
    <t>[doPost] paymentFile.name: Screenshot_20260510_160742.jpg</t>
  </si>
  <si>
    <t>[doPost] paymentFile.data length: 747848</t>
  </si>
  <si>
    <t>[upload] File name: Screenshot_20260510_160742.jpg</t>
  </si>
  <si>
    <t>[upload] File data length: 747848</t>
  </si>
  <si>
    <t>[upload] Decoded bytes length: 560886</t>
  </si>
  <si>
    <t>[upload] File uploaded successfully, URL: https://drive.google.com/file/d/1qw1TyG1E1VX00C94rUY6MKY2EKDTJaCv/view?usp=drivesdk</t>
  </si>
  <si>
    <t>[doPost] processSubmission completed, result: {"rowsAdded":2,"startRow":89}</t>
  </si>
  <si>
    <t>[doPost] postData length: 47399</t>
  </si>
  <si>
    <t>[doPost] paymentFile.name: IMG-20260510-WA0023(1).jpg</t>
  </si>
  <si>
    <t>[doPost] paymentFile.data length: 47088</t>
  </si>
  <si>
    <t>[upload] File name: IMG-20260510-WA0023(1).jpg</t>
  </si>
  <si>
    <t>[upload] File data length: 47088</t>
  </si>
  <si>
    <t>[upload] Decoded bytes length: 35316</t>
  </si>
  <si>
    <t>[upload] File uploaded successfully, URL: https://drive.google.com/file/d/1Y8RGr20zomLJ_25dNnT5mGL31FfK8c6f/view?usp=drivesdk</t>
  </si>
  <si>
    <t>[doPost] processSubmission completed, result: {"rowsAdded":1,"startRow":91}</t>
  </si>
  <si>
    <t>[doPost] postData length: 43800</t>
  </si>
  <si>
    <t>[doPost] paymentFile.name: IMG-20260510-WA0026.jpg</t>
  </si>
  <si>
    <t>[doPost] paymentFile.data length: 43232</t>
  </si>
  <si>
    <t>[upload] File name: IMG-20260510-WA0026.jpg</t>
  </si>
  <si>
    <t>[upload] File data length: 43232</t>
  </si>
  <si>
    <t>[upload] Decoded bytes length: 32424</t>
  </si>
  <si>
    <t>[upload] File uploaded successfully, URL: https://drive.google.com/file/d/1_RVFXfH2oYi5qxC3TQ6rRktsXYxvqsXn/view?usp=drivesdk</t>
  </si>
  <si>
    <t>[doPost] processSubmission completed, result: {"rowsAdded":1,"startRow":92}</t>
  </si>
  <si>
    <t>[doPost] postData length: 106449</t>
  </si>
  <si>
    <t>[doPost] paymentFile.name: IMG-20260515-WA0002.jpg</t>
  </si>
  <si>
    <t>[doPost] paymentFile.data length: 103404</t>
  </si>
  <si>
    <t>[upload] File name: IMG-20260515-WA0002.jpg</t>
  </si>
  <si>
    <t>[upload] File data length: 103404</t>
  </si>
  <si>
    <t>[upload] Decoded bytes length: 77552</t>
  </si>
  <si>
    <t>[upload] File uploaded successfully, URL: https://drive.google.com/file/d/1YOzUWSFOtYmp23W3hSZvu12OYEhGYaHH/view?usp=drivesdk</t>
  </si>
  <si>
    <t>[doPost] processSubmission completed, result: {"rowsAdded":11,"startRow":93}</t>
  </si>
  <si>
    <t>[doPost] postData length: 294397</t>
  </si>
  <si>
    <t>[doPost] paymentFile.name: Screenshot_20260516-074447_PhonePe.png</t>
  </si>
  <si>
    <t>[doPost] paymentFile.data length: 293244</t>
  </si>
  <si>
    <t>[upload] File name: Screenshot_20260516-074447_PhonePe.png</t>
  </si>
  <si>
    <t>[upload] File data length: 293244</t>
  </si>
  <si>
    <t>[upload] Decoded bytes length: 219931</t>
  </si>
  <si>
    <t>[upload] File uploaded successfully, URL: https://drive.google.com/file/d/1j6LO2tatPwn7noMwB3XpT4auYnuh0FXD/view?usp=drivesdk</t>
  </si>
  <si>
    <t>[doPost] processSubmission completed, result: {"rowsAdded":4,"startRow":104}</t>
  </si>
  <si>
    <t>[upload] File uploaded successfully, URL: https://drive.google.com/file/d/1FsNQ3ao_ggHTDhaWYyXRTpdSG5yNfbJY/view?usp=drivesdk</t>
  </si>
  <si>
    <t>[doPost] processSubmission completed, result: {"rowsAdded":3,"startRow":108}</t>
  </si>
  <si>
    <t>[doPost] postData length: 614002</t>
  </si>
  <si>
    <t>[doPost] paymentFile.name: Screenshot_2026-05-16-07-54-25-500_com.phonepe.app.jpg</t>
  </si>
  <si>
    <t>[doPost] paymentFile.data length: 612632</t>
  </si>
  <si>
    <t>[upload] File name: Screenshot_2026-05-16-07-54-25-500_com.phonepe.app.jpg</t>
  </si>
  <si>
    <t>[upload] File data length: 612632</t>
  </si>
  <si>
    <t>[upload] Decoded bytes length: 459473</t>
  </si>
  <si>
    <t>[upload] File uploaded successfully, URL: https://drive.google.com/file/d/1tLMOo_u2iUJgejRc3CHYirKSCurXmSYJ/view?usp=drivesdk</t>
  </si>
  <si>
    <t>[doPost] processSubmission completed, result: {"rowsAdded":4,"startRow":111}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</si>
</sst>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, hh:mm:ss"/>
  </numFmts>
  <fonts count="1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u/>
      <sz val="14.0"/>
      <color rgb="FF0000FF"/>
    </font>
    <font/>
    <font>
      <u/>
      <sz val="14.0"/>
      <color rgb="FF0000FF"/>
    </font>
    <font>
      <u/>
      <sz val="14.0"/>
      <color rgb="FF0000FF"/>
    </font>
    <font>
      <u/>
      <sz val="14.0"/>
      <color rgb="FF0000FF"/>
    </font>
    <font>
      <u/>
      <sz val="14.0"/>
      <color rgb="FF0000FF"/>
    </font>
    <font>
      <sz val="14.0"/>
      <color rgb="FF000000"/>
      <name val="Arial"/>
    </font>
    <font>
      <u/>
      <sz val="14.0"/>
      <color rgb="FF0000FF"/>
      <name val="Arial"/>
    </font>
    <font>
      <u/>
      <sz val="14.0"/>
      <color rgb="FF0000FF"/>
    </font>
    <font>
      <u/>
      <sz val="14.0"/>
      <color rgb="FF0000FF"/>
    </font>
    <font>
      <u/>
      <sz val="14.0"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F46E5"/>
        <bgColor rgb="FF4F46E5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19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2" fillId="3" fontId="2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5" numFmtId="0" xfId="0" applyBorder="1" applyFont="1"/>
    <xf borderId="13" fillId="0" fontId="2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4" fillId="0" fontId="3" numFmtId="164" xfId="0" applyAlignment="1" applyBorder="1" applyFont="1" applyNumberFormat="1">
      <alignment horizontal="center" readingOrder="0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16" fillId="0" fontId="3" numFmtId="0" xfId="0" applyAlignment="1" applyBorder="1" applyFont="1">
      <alignment readingOrder="0" shrinkToFit="0" vertical="center" wrapText="1"/>
    </xf>
    <xf borderId="1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3" numFmtId="164" xfId="0" applyAlignment="1" applyBorder="1" applyFont="1" applyNumberForma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17" fillId="3" fontId="2" numFmtId="0" xfId="0" applyAlignment="1" applyBorder="1" applyFont="1">
      <alignment readingOrder="0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7" fillId="0" fontId="3" numFmtId="164" xfId="0" applyAlignment="1" applyBorder="1" applyFont="1" applyNumberFormat="1">
      <alignment horizontal="center" readingOrder="0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164" xfId="0" applyAlignment="1" applyBorder="1" applyFont="1" applyNumberForma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18" fillId="4" fontId="10" numFmtId="164" xfId="0" applyAlignment="1" applyBorder="1" applyFill="1" applyFont="1" applyNumberFormat="1">
      <alignment horizontal="center" readingOrder="0" shrinkToFit="0" vertical="center" wrapText="1"/>
    </xf>
    <xf borderId="18" fillId="0" fontId="11" numFmtId="0" xfId="0" applyAlignment="1" applyBorder="1" applyFont="1">
      <alignment horizontal="center" readingOrder="0" shrinkToFit="0" vertical="center" wrapText="1"/>
    </xf>
    <xf borderId="17" fillId="0" fontId="1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17" fillId="3" fontId="2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17" fillId="0" fontId="3" numFmtId="0" xfId="0" applyAlignment="1" applyBorder="1" applyFont="1">
      <alignment vertical="center"/>
    </xf>
    <xf borderId="17" fillId="0" fontId="3" numFmtId="164" xfId="0" applyAlignment="1" applyBorder="1" applyFont="1" applyNumberFormat="1">
      <alignment readingOrder="0" vertical="center"/>
    </xf>
    <xf borderId="17" fillId="0" fontId="13" numFmtId="0" xfId="0" applyAlignment="1" applyBorder="1" applyFont="1">
      <alignment vertical="center"/>
    </xf>
    <xf borderId="7" fillId="0" fontId="2" numFmtId="0" xfId="0" applyAlignment="1" applyBorder="1" applyFont="1">
      <alignment readingOrder="0"/>
    </xf>
    <xf borderId="7" fillId="0" fontId="3" numFmtId="164" xfId="0" applyAlignment="1" applyBorder="1" applyFont="1" applyNumberFormat="1">
      <alignment readingOrder="0"/>
    </xf>
    <xf borderId="7" fillId="0" fontId="14" numFmtId="0" xfId="0" applyBorder="1" applyFont="1"/>
    <xf borderId="17" fillId="0" fontId="3" numFmtId="0" xfId="0" applyAlignment="1" applyBorder="1" applyFont="1">
      <alignment readingOrder="0" vertical="center"/>
    </xf>
    <xf borderId="0" fillId="0" fontId="2" numFmtId="0" xfId="0" applyFont="1"/>
    <xf borderId="0" fillId="0" fontId="3" numFmtId="0" xfId="0" applyFont="1"/>
    <xf borderId="0" fillId="0" fontId="15" numFmtId="0" xfId="0" applyAlignment="1" applyFont="1">
      <alignment readingOrder="0"/>
    </xf>
    <xf borderId="0" fillId="0" fontId="15" numFmtId="0" xfId="0" applyFont="1"/>
    <xf borderId="0" fillId="0" fontId="16" numFmtId="164" xfId="0" applyAlignment="1" applyFont="1" applyNumberForma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s://drive.google.com/file/d/16_pI9S4yZzU37pjC6GppnJ0LgLUf2xir/view?usp%3Ddrivesdk&amp;sa=D&amp;source=editors&amp;ust=1778325430885386&amp;usg=AOvVaw2eHlF-6_zpDJSRwwz3snw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13"/>
    <col customWidth="1" min="2" max="2" width="15.38"/>
    <col customWidth="1" min="3" max="3" width="18.75"/>
    <col customWidth="1" min="4" max="4" width="7.88"/>
    <col customWidth="1" min="5" max="5" width="25.63"/>
    <col customWidth="1" min="6" max="6" width="18.88"/>
    <col customWidth="1" min="7" max="7" width="11.63"/>
    <col customWidth="1" min="8" max="8" width="14.88"/>
    <col customWidth="1" min="9" max="9" width="17.0"/>
    <col customWidth="1" min="10" max="10" width="15.13"/>
    <col customWidth="1" min="11" max="12" width="12.63"/>
    <col customWidth="1" min="13" max="13" width="31.38"/>
    <col customWidth="1" min="14" max="14" width="18.88"/>
    <col customWidth="1" min="15" max="15" width="31.38"/>
    <col customWidth="1" min="16" max="16" width="22.63"/>
    <col customWidth="1" min="17" max="17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>
        <v>7.893894239E9</v>
      </c>
      <c r="C2" s="4" t="s">
        <v>17</v>
      </c>
      <c r="D2" s="4">
        <v>26.0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5"/>
      <c r="K2" s="4">
        <v>16.0</v>
      </c>
      <c r="L2" s="5"/>
      <c r="M2" s="5"/>
      <c r="N2" s="4" t="s">
        <v>23</v>
      </c>
      <c r="O2" s="6"/>
      <c r="P2" s="7">
        <v>46132.454722222225</v>
      </c>
      <c r="Q2" s="8" t="str">
        <f>HYPERLINK("https://drive.google.com/file/d/1at0BsIFT9V8G5qt-V4G5ssFyXgAM3OXo/view?usp=drivesdk", "Payment Link")</f>
        <v>Payment Link</v>
      </c>
    </row>
    <row r="3">
      <c r="A3" s="9"/>
      <c r="B3" s="10"/>
      <c r="C3" s="11" t="s">
        <v>24</v>
      </c>
      <c r="D3" s="11">
        <v>56.0</v>
      </c>
      <c r="E3" s="12"/>
      <c r="F3" s="12"/>
      <c r="G3" s="11" t="s">
        <v>20</v>
      </c>
      <c r="H3" s="11" t="s">
        <v>21</v>
      </c>
      <c r="I3" s="11" t="s">
        <v>25</v>
      </c>
      <c r="J3" s="11" t="s">
        <v>26</v>
      </c>
      <c r="K3" s="11">
        <v>0.0</v>
      </c>
      <c r="L3" s="11"/>
      <c r="M3" s="12"/>
      <c r="N3" s="11" t="s">
        <v>23</v>
      </c>
      <c r="O3" s="10"/>
      <c r="P3" s="10"/>
      <c r="Q3" s="13"/>
    </row>
    <row r="4">
      <c r="A4" s="9"/>
      <c r="B4" s="10"/>
      <c r="C4" s="11" t="s">
        <v>27</v>
      </c>
      <c r="D4" s="11">
        <v>52.0</v>
      </c>
      <c r="E4" s="12"/>
      <c r="F4" s="12"/>
      <c r="G4" s="11" t="s">
        <v>28</v>
      </c>
      <c r="H4" s="11" t="s">
        <v>21</v>
      </c>
      <c r="I4" s="11" t="s">
        <v>25</v>
      </c>
      <c r="J4" s="11" t="s">
        <v>26</v>
      </c>
      <c r="K4" s="11" t="s">
        <v>29</v>
      </c>
      <c r="L4" s="11"/>
      <c r="M4" s="12"/>
      <c r="N4" s="11" t="s">
        <v>23</v>
      </c>
      <c r="O4" s="10"/>
      <c r="P4" s="10"/>
      <c r="Q4" s="13"/>
    </row>
    <row r="5">
      <c r="A5" s="9"/>
      <c r="B5" s="10"/>
      <c r="C5" s="11" t="s">
        <v>30</v>
      </c>
      <c r="D5" s="11">
        <v>31.0</v>
      </c>
      <c r="E5" s="12"/>
      <c r="F5" s="12"/>
      <c r="G5" s="11" t="s">
        <v>28</v>
      </c>
      <c r="H5" s="11" t="s">
        <v>21</v>
      </c>
      <c r="I5" s="11" t="s">
        <v>31</v>
      </c>
      <c r="J5" s="11" t="s">
        <v>26</v>
      </c>
      <c r="K5" s="11">
        <v>0.0</v>
      </c>
      <c r="L5" s="11"/>
      <c r="M5" s="12"/>
      <c r="N5" s="11" t="s">
        <v>23</v>
      </c>
      <c r="O5" s="10"/>
      <c r="P5" s="10"/>
      <c r="Q5" s="13"/>
    </row>
    <row r="6">
      <c r="A6" s="14"/>
      <c r="B6" s="15"/>
      <c r="C6" s="16" t="s">
        <v>32</v>
      </c>
      <c r="D6" s="16">
        <v>32.0</v>
      </c>
      <c r="E6" s="17"/>
      <c r="F6" s="17"/>
      <c r="G6" s="16" t="s">
        <v>20</v>
      </c>
      <c r="H6" s="16" t="s">
        <v>21</v>
      </c>
      <c r="I6" s="16" t="s">
        <v>33</v>
      </c>
      <c r="J6" s="16" t="s">
        <v>26</v>
      </c>
      <c r="K6" s="16">
        <v>0.0</v>
      </c>
      <c r="L6" s="16"/>
      <c r="M6" s="17"/>
      <c r="N6" s="16" t="s">
        <v>23</v>
      </c>
      <c r="O6" s="15"/>
      <c r="P6" s="15"/>
      <c r="Q6" s="18"/>
    </row>
    <row r="7">
      <c r="A7" s="19" t="s">
        <v>34</v>
      </c>
      <c r="B7" s="20">
        <v>9.704090561E9</v>
      </c>
      <c r="C7" s="21" t="s">
        <v>34</v>
      </c>
      <c r="D7" s="21">
        <v>27.0</v>
      </c>
      <c r="E7" s="21" t="s">
        <v>35</v>
      </c>
      <c r="F7" s="22"/>
      <c r="G7" s="21" t="s">
        <v>20</v>
      </c>
      <c r="H7" s="21" t="s">
        <v>21</v>
      </c>
      <c r="I7" s="21" t="s">
        <v>22</v>
      </c>
      <c r="J7" s="22"/>
      <c r="K7" s="22"/>
      <c r="L7" s="22"/>
      <c r="M7" s="22"/>
      <c r="N7" s="21" t="s">
        <v>36</v>
      </c>
      <c r="O7" s="23"/>
      <c r="P7" s="24">
        <v>46136.3409375</v>
      </c>
      <c r="Q7" s="25" t="str">
        <f>HYPERLINK("https://drive.google.com/file/d/1Jov9MoY02J4Kj00H4_niIGzesS6SB1za/view?usp=drivesdk", "Payment Link")</f>
        <v>Payment Link</v>
      </c>
    </row>
    <row r="8">
      <c r="A8" s="2" t="s">
        <v>37</v>
      </c>
      <c r="B8" s="3">
        <v>9.028451481E9</v>
      </c>
      <c r="C8" s="4" t="s">
        <v>37</v>
      </c>
      <c r="D8" s="4">
        <v>41.0</v>
      </c>
      <c r="E8" s="4" t="s">
        <v>38</v>
      </c>
      <c r="F8" s="5"/>
      <c r="G8" s="4" t="s">
        <v>20</v>
      </c>
      <c r="H8" s="4" t="s">
        <v>39</v>
      </c>
      <c r="I8" s="4" t="s">
        <v>40</v>
      </c>
      <c r="J8" s="5"/>
      <c r="K8" s="5"/>
      <c r="L8" s="5"/>
      <c r="M8" s="5"/>
      <c r="N8" s="4" t="s">
        <v>23</v>
      </c>
      <c r="O8" s="6"/>
      <c r="P8" s="7">
        <v>46136.34162037037</v>
      </c>
      <c r="Q8" s="8" t="str">
        <f>HYPERLINK("https://drive.google.com/file/d/11jQ_X-AIHsMdlKrAl_LBubvzNq-Tht8O/view?usp=drivesdk", "Payment Link")</f>
        <v>Payment Link</v>
      </c>
    </row>
    <row r="9">
      <c r="A9" s="9"/>
      <c r="B9" s="10"/>
      <c r="C9" s="11" t="s">
        <v>41</v>
      </c>
      <c r="D9" s="11">
        <v>41.0</v>
      </c>
      <c r="E9" s="12"/>
      <c r="F9" s="11" t="s">
        <v>42</v>
      </c>
      <c r="G9" s="11" t="s">
        <v>28</v>
      </c>
      <c r="H9" s="11" t="s">
        <v>39</v>
      </c>
      <c r="I9" s="11" t="s">
        <v>40</v>
      </c>
      <c r="J9" s="11" t="s">
        <v>43</v>
      </c>
      <c r="K9" s="11">
        <v>16.0</v>
      </c>
      <c r="L9" s="12"/>
      <c r="M9" s="12"/>
      <c r="N9" s="11" t="s">
        <v>23</v>
      </c>
      <c r="O9" s="10"/>
      <c r="P9" s="10"/>
      <c r="Q9" s="13"/>
    </row>
    <row r="10">
      <c r="A10" s="14"/>
      <c r="B10" s="15"/>
      <c r="C10" s="16" t="s">
        <v>44</v>
      </c>
      <c r="D10" s="16">
        <v>66.0</v>
      </c>
      <c r="E10" s="17"/>
      <c r="F10" s="16" t="s">
        <v>45</v>
      </c>
      <c r="G10" s="16" t="s">
        <v>28</v>
      </c>
      <c r="H10" s="16" t="s">
        <v>46</v>
      </c>
      <c r="I10" s="16" t="s">
        <v>47</v>
      </c>
      <c r="J10" s="16" t="s">
        <v>26</v>
      </c>
      <c r="K10" s="16">
        <v>16.0</v>
      </c>
      <c r="L10" s="17"/>
      <c r="M10" s="17"/>
      <c r="N10" s="16" t="s">
        <v>23</v>
      </c>
      <c r="O10" s="15"/>
      <c r="P10" s="15"/>
      <c r="Q10" s="18"/>
    </row>
    <row r="11">
      <c r="A11" s="26" t="s">
        <v>48</v>
      </c>
      <c r="B11" s="26">
        <v>8.500139299E9</v>
      </c>
      <c r="C11" s="27" t="s">
        <v>48</v>
      </c>
      <c r="D11" s="27">
        <v>34.0</v>
      </c>
      <c r="E11" s="27" t="s">
        <v>49</v>
      </c>
      <c r="F11" s="28"/>
      <c r="G11" s="27" t="s">
        <v>20</v>
      </c>
      <c r="H11" s="27" t="s">
        <v>21</v>
      </c>
      <c r="I11" s="27" t="s">
        <v>50</v>
      </c>
      <c r="J11" s="28"/>
      <c r="K11" s="28"/>
      <c r="L11" s="28"/>
      <c r="M11" s="28"/>
      <c r="N11" s="27" t="s">
        <v>23</v>
      </c>
      <c r="O11" s="29"/>
      <c r="P11" s="30">
        <v>46136.34273148148</v>
      </c>
      <c r="Q11" s="31" t="str">
        <f>HYPERLINK("https://drive.google.com/file/d/1bapUArLtL8O1iHyeLKcT2QCdN3RS2h6G/view?usp=drivesdk", "Payment Link")</f>
        <v>Payment Link</v>
      </c>
    </row>
    <row r="12">
      <c r="A12" s="10"/>
      <c r="B12" s="10"/>
      <c r="C12" s="11" t="s">
        <v>51</v>
      </c>
      <c r="D12" s="11">
        <v>28.0</v>
      </c>
      <c r="E12" s="12"/>
      <c r="F12" s="11" t="s">
        <v>42</v>
      </c>
      <c r="G12" s="11" t="s">
        <v>28</v>
      </c>
      <c r="H12" s="11" t="s">
        <v>21</v>
      </c>
      <c r="I12" s="11" t="s">
        <v>52</v>
      </c>
      <c r="J12" s="11" t="s">
        <v>43</v>
      </c>
      <c r="K12" s="11">
        <v>16.0</v>
      </c>
      <c r="L12" s="12"/>
      <c r="M12" s="12"/>
      <c r="N12" s="11" t="s">
        <v>23</v>
      </c>
      <c r="O12" s="10"/>
      <c r="P12" s="10"/>
      <c r="Q12" s="10"/>
    </row>
    <row r="13">
      <c r="A13" s="32"/>
      <c r="B13" s="32"/>
      <c r="C13" s="11" t="s">
        <v>53</v>
      </c>
      <c r="D13" s="11">
        <v>3.0</v>
      </c>
      <c r="E13" s="12"/>
      <c r="F13" s="11" t="s">
        <v>54</v>
      </c>
      <c r="G13" s="11" t="s">
        <v>28</v>
      </c>
      <c r="H13" s="11" t="s">
        <v>21</v>
      </c>
      <c r="I13" s="11" t="s">
        <v>25</v>
      </c>
      <c r="J13" s="11" t="s">
        <v>43</v>
      </c>
      <c r="K13" s="11">
        <v>0.0</v>
      </c>
      <c r="L13" s="12"/>
      <c r="M13" s="12"/>
      <c r="N13" s="11" t="s">
        <v>23</v>
      </c>
      <c r="O13" s="32"/>
      <c r="P13" s="32"/>
      <c r="Q13" s="32"/>
    </row>
    <row r="14">
      <c r="A14" s="33" t="s">
        <v>55</v>
      </c>
      <c r="B14" s="33">
        <v>9.663395359E9</v>
      </c>
      <c r="C14" s="11" t="s">
        <v>55</v>
      </c>
      <c r="D14" s="11">
        <v>36.0</v>
      </c>
      <c r="E14" s="11" t="s">
        <v>56</v>
      </c>
      <c r="F14" s="12"/>
      <c r="G14" s="11" t="s">
        <v>20</v>
      </c>
      <c r="H14" s="11" t="s">
        <v>21</v>
      </c>
      <c r="I14" s="11" t="s">
        <v>50</v>
      </c>
      <c r="J14" s="12"/>
      <c r="K14" s="12"/>
      <c r="L14" s="12"/>
      <c r="M14" s="12"/>
      <c r="N14" s="11" t="s">
        <v>23</v>
      </c>
      <c r="O14" s="34"/>
      <c r="P14" s="35">
        <v>46137.34081018518</v>
      </c>
      <c r="Q14" s="36" t="str">
        <f>HYPERLINK("https://drive.google.com/file/d/198Fd9ncQ20pHFdrsD3NtPtkcE5R1zoIc/view?usp=drivesdk", "Payment Link")</f>
        <v>Payment Link</v>
      </c>
    </row>
    <row r="15">
      <c r="A15" s="32"/>
      <c r="B15" s="32"/>
      <c r="C15" s="11" t="s">
        <v>57</v>
      </c>
      <c r="D15" s="11">
        <v>31.0</v>
      </c>
      <c r="E15" s="12"/>
      <c r="F15" s="11" t="s">
        <v>58</v>
      </c>
      <c r="G15" s="11" t="s">
        <v>28</v>
      </c>
      <c r="H15" s="11" t="s">
        <v>21</v>
      </c>
      <c r="I15" s="11" t="s">
        <v>59</v>
      </c>
      <c r="J15" s="11" t="s">
        <v>43</v>
      </c>
      <c r="K15" s="11" t="s">
        <v>60</v>
      </c>
      <c r="L15" s="12"/>
      <c r="M15" s="11" t="s">
        <v>61</v>
      </c>
      <c r="N15" s="11" t="s">
        <v>23</v>
      </c>
      <c r="O15" s="32"/>
      <c r="P15" s="32"/>
      <c r="Q15" s="32"/>
    </row>
    <row r="16">
      <c r="A16" s="37" t="s">
        <v>62</v>
      </c>
      <c r="B16" s="37">
        <v>8.42928959E9</v>
      </c>
      <c r="C16" s="11" t="s">
        <v>62</v>
      </c>
      <c r="D16" s="11">
        <v>21.0</v>
      </c>
      <c r="E16" s="11" t="s">
        <v>63</v>
      </c>
      <c r="F16" s="12"/>
      <c r="G16" s="11" t="s">
        <v>28</v>
      </c>
      <c r="H16" s="11" t="s">
        <v>21</v>
      </c>
      <c r="I16" s="11" t="s">
        <v>47</v>
      </c>
      <c r="J16" s="12"/>
      <c r="K16" s="12"/>
      <c r="L16" s="12"/>
      <c r="M16" s="12"/>
      <c r="N16" s="11" t="s">
        <v>23</v>
      </c>
      <c r="O16" s="38"/>
      <c r="P16" s="39">
        <v>46138.622708333336</v>
      </c>
      <c r="Q16" s="40" t="str">
        <f>HYPERLINK("https://drive.google.com/file/d/1gyyvUFOpNJacX4j28PIkHcF7yEEFq1Bx/view?usp=drivesdk", "Payment Link")</f>
        <v>Payment Link</v>
      </c>
    </row>
    <row r="17">
      <c r="A17" s="33" t="s">
        <v>64</v>
      </c>
      <c r="B17" s="33">
        <v>7.588787485E9</v>
      </c>
      <c r="C17" s="11" t="s">
        <v>64</v>
      </c>
      <c r="D17" s="11">
        <v>27.0</v>
      </c>
      <c r="E17" s="11" t="s">
        <v>65</v>
      </c>
      <c r="F17" s="12"/>
      <c r="G17" s="11" t="s">
        <v>20</v>
      </c>
      <c r="H17" s="11" t="s">
        <v>21</v>
      </c>
      <c r="I17" s="11" t="s">
        <v>40</v>
      </c>
      <c r="J17" s="12"/>
      <c r="K17" s="12"/>
      <c r="L17" s="12"/>
      <c r="M17" s="12"/>
      <c r="N17" s="11" t="s">
        <v>23</v>
      </c>
      <c r="O17" s="41" t="s">
        <v>66</v>
      </c>
      <c r="P17" s="35">
        <v>46139.70453703704</v>
      </c>
      <c r="Q17" s="36" t="str">
        <f>HYPERLINK("https://drive.google.com/file/d/1n2Uc3UtoKo2LXK8VXII69pcB_aEqwIM7/view?usp=drivesdk", "Payment Link")</f>
        <v>Payment Link</v>
      </c>
    </row>
    <row r="18">
      <c r="A18" s="10"/>
      <c r="B18" s="10"/>
      <c r="C18" s="11" t="s">
        <v>67</v>
      </c>
      <c r="D18" s="11">
        <v>61.0</v>
      </c>
      <c r="E18" s="12"/>
      <c r="F18" s="11" t="s">
        <v>68</v>
      </c>
      <c r="G18" s="11" t="s">
        <v>20</v>
      </c>
      <c r="H18" s="11" t="s">
        <v>21</v>
      </c>
      <c r="I18" s="11" t="s">
        <v>47</v>
      </c>
      <c r="J18" s="11" t="s">
        <v>43</v>
      </c>
      <c r="K18" s="11" t="s">
        <v>29</v>
      </c>
      <c r="L18" s="12"/>
      <c r="M18" s="11" t="s">
        <v>69</v>
      </c>
      <c r="N18" s="11" t="s">
        <v>23</v>
      </c>
      <c r="O18" s="10"/>
      <c r="P18" s="10"/>
      <c r="Q18" s="10"/>
    </row>
    <row r="19">
      <c r="A19" s="32"/>
      <c r="B19" s="32"/>
      <c r="C19" s="11" t="s">
        <v>70</v>
      </c>
      <c r="D19" s="11">
        <v>54.0</v>
      </c>
      <c r="E19" s="12"/>
      <c r="F19" s="11" t="s">
        <v>45</v>
      </c>
      <c r="G19" s="11" t="s">
        <v>28</v>
      </c>
      <c r="H19" s="11" t="s">
        <v>46</v>
      </c>
      <c r="I19" s="11" t="s">
        <v>47</v>
      </c>
      <c r="J19" s="11" t="s">
        <v>43</v>
      </c>
      <c r="K19" s="11" t="s">
        <v>60</v>
      </c>
      <c r="L19" s="12"/>
      <c r="M19" s="11" t="s">
        <v>71</v>
      </c>
      <c r="N19" s="11" t="s">
        <v>23</v>
      </c>
      <c r="O19" s="32"/>
      <c r="P19" s="32"/>
      <c r="Q19" s="32"/>
    </row>
    <row r="20">
      <c r="A20" s="33" t="s">
        <v>72</v>
      </c>
      <c r="B20" s="33">
        <v>9.840286639E9</v>
      </c>
      <c r="C20" s="11" t="s">
        <v>72</v>
      </c>
      <c r="D20" s="11">
        <v>28.0</v>
      </c>
      <c r="E20" s="11" t="s">
        <v>73</v>
      </c>
      <c r="F20" s="12"/>
      <c r="G20" s="11" t="s">
        <v>20</v>
      </c>
      <c r="H20" s="11" t="s">
        <v>21</v>
      </c>
      <c r="I20" s="11" t="s">
        <v>59</v>
      </c>
      <c r="J20" s="12"/>
      <c r="K20" s="12"/>
      <c r="L20" s="12"/>
      <c r="M20" s="12"/>
      <c r="N20" s="11" t="s">
        <v>23</v>
      </c>
      <c r="O20" s="34"/>
      <c r="P20" s="35">
        <v>46140.31958333333</v>
      </c>
      <c r="Q20" s="36" t="str">
        <f>HYPERLINK("https://drive.google.com/file/d/16K_X3BhKCQU3LT-CYRc5m-4AhKk7T34n/view?usp=drivesdk", "Payment Link")</f>
        <v>Payment Link</v>
      </c>
    </row>
    <row r="21">
      <c r="A21" s="10"/>
      <c r="B21" s="10"/>
      <c r="C21" s="11" t="s">
        <v>74</v>
      </c>
      <c r="D21" s="11">
        <v>28.0</v>
      </c>
      <c r="E21" s="12"/>
      <c r="F21" s="11" t="s">
        <v>75</v>
      </c>
      <c r="G21" s="11" t="s">
        <v>28</v>
      </c>
      <c r="H21" s="11" t="s">
        <v>21</v>
      </c>
      <c r="I21" s="11" t="s">
        <v>52</v>
      </c>
      <c r="J21" s="11" t="s">
        <v>43</v>
      </c>
      <c r="K21" s="11">
        <v>16.0</v>
      </c>
      <c r="L21" s="12"/>
      <c r="M21" s="11" t="s">
        <v>76</v>
      </c>
      <c r="N21" s="11" t="s">
        <v>23</v>
      </c>
      <c r="O21" s="10"/>
      <c r="P21" s="10"/>
      <c r="Q21" s="32"/>
    </row>
    <row r="22">
      <c r="A22" s="10"/>
      <c r="B22" s="10"/>
      <c r="C22" s="11" t="s">
        <v>77</v>
      </c>
      <c r="D22" s="11">
        <v>61.0</v>
      </c>
      <c r="E22" s="12"/>
      <c r="F22" s="11" t="s">
        <v>68</v>
      </c>
      <c r="G22" s="11" t="s">
        <v>20</v>
      </c>
      <c r="H22" s="11" t="s">
        <v>46</v>
      </c>
      <c r="I22" s="11" t="s">
        <v>25</v>
      </c>
      <c r="J22" s="11" t="s">
        <v>26</v>
      </c>
      <c r="K22" s="11" t="s">
        <v>29</v>
      </c>
      <c r="L22" s="12"/>
      <c r="M22" s="11" t="s">
        <v>78</v>
      </c>
      <c r="N22" s="11" t="s">
        <v>23</v>
      </c>
      <c r="O22" s="10"/>
      <c r="P22" s="10"/>
      <c r="Q22" s="36" t="str">
        <f>HYPERLINK("https://drive.google.com/file/d/16K_X3BhKCQU3LT-CYRc5m-4AhKk7T34n/view?usp=drivesdk", "Payment Link")</f>
        <v>Payment Link</v>
      </c>
    </row>
    <row r="23">
      <c r="A23" s="32"/>
      <c r="B23" s="32"/>
      <c r="C23" s="11" t="s">
        <v>79</v>
      </c>
      <c r="D23" s="11">
        <v>52.0</v>
      </c>
      <c r="E23" s="12"/>
      <c r="F23" s="11" t="s">
        <v>80</v>
      </c>
      <c r="G23" s="11" t="s">
        <v>28</v>
      </c>
      <c r="H23" s="11" t="s">
        <v>21</v>
      </c>
      <c r="I23" s="11" t="s">
        <v>25</v>
      </c>
      <c r="J23" s="11" t="s">
        <v>26</v>
      </c>
      <c r="K23" s="11" t="s">
        <v>29</v>
      </c>
      <c r="L23" s="12"/>
      <c r="M23" s="11" t="s">
        <v>81</v>
      </c>
      <c r="N23" s="11" t="s">
        <v>23</v>
      </c>
      <c r="O23" s="32"/>
      <c r="P23" s="32"/>
      <c r="Q23" s="32"/>
    </row>
    <row r="24">
      <c r="A24" s="37" t="s">
        <v>82</v>
      </c>
      <c r="B24" s="37">
        <v>9.381002799E9</v>
      </c>
      <c r="C24" s="11" t="s">
        <v>82</v>
      </c>
      <c r="D24" s="11">
        <v>25.0</v>
      </c>
      <c r="E24" s="11" t="s">
        <v>83</v>
      </c>
      <c r="F24" s="12"/>
      <c r="G24" s="11" t="s">
        <v>20</v>
      </c>
      <c r="H24" s="11" t="s">
        <v>39</v>
      </c>
      <c r="I24" s="11" t="s">
        <v>22</v>
      </c>
      <c r="J24" s="12"/>
      <c r="K24" s="12"/>
      <c r="L24" s="12"/>
      <c r="M24" s="12"/>
      <c r="N24" s="11" t="s">
        <v>23</v>
      </c>
      <c r="O24" s="38"/>
      <c r="P24" s="42">
        <v>46140.32096064815</v>
      </c>
      <c r="Q24" s="43" t="s">
        <v>84</v>
      </c>
    </row>
    <row r="25">
      <c r="A25" s="33" t="s">
        <v>85</v>
      </c>
      <c r="B25" s="33">
        <v>8.682845231E9</v>
      </c>
      <c r="C25" s="11" t="s">
        <v>85</v>
      </c>
      <c r="D25" s="11">
        <v>29.0</v>
      </c>
      <c r="E25" s="11" t="s">
        <v>86</v>
      </c>
      <c r="F25" s="12"/>
      <c r="G25" s="11" t="s">
        <v>20</v>
      </c>
      <c r="H25" s="11" t="s">
        <v>21</v>
      </c>
      <c r="I25" s="11" t="s">
        <v>22</v>
      </c>
      <c r="J25" s="12"/>
      <c r="K25" s="12"/>
      <c r="L25" s="12"/>
      <c r="M25" s="12"/>
      <c r="N25" s="11" t="s">
        <v>23</v>
      </c>
      <c r="O25" s="34"/>
      <c r="P25" s="35">
        <v>46140.32121527778</v>
      </c>
      <c r="Q25" s="36" t="str">
        <f>HYPERLINK("https://drive.google.com/file/d/1L3_nwkfxSpegiH1VUIjr03BwIIEx6reu/view?usp=drivesdk", "Payment Link")</f>
        <v>Payment Link</v>
      </c>
    </row>
    <row r="26">
      <c r="A26" s="32"/>
      <c r="B26" s="32"/>
      <c r="C26" s="11" t="s">
        <v>87</v>
      </c>
      <c r="D26" s="11">
        <v>29.0</v>
      </c>
      <c r="E26" s="12"/>
      <c r="F26" s="11" t="s">
        <v>75</v>
      </c>
      <c r="G26" s="11" t="s">
        <v>28</v>
      </c>
      <c r="H26" s="11" t="s">
        <v>21</v>
      </c>
      <c r="I26" s="11" t="s">
        <v>52</v>
      </c>
      <c r="J26" s="11" t="s">
        <v>43</v>
      </c>
      <c r="K26" s="11">
        <v>16.0</v>
      </c>
      <c r="L26" s="12"/>
      <c r="M26" s="12"/>
      <c r="N26" s="11" t="s">
        <v>23</v>
      </c>
      <c r="O26" s="32"/>
      <c r="P26" s="32"/>
      <c r="Q26" s="32"/>
    </row>
    <row r="27">
      <c r="A27" s="33" t="s">
        <v>88</v>
      </c>
      <c r="B27" s="33">
        <v>9.67716357E9</v>
      </c>
      <c r="C27" s="11" t="s">
        <v>88</v>
      </c>
      <c r="D27" s="11">
        <v>30.0</v>
      </c>
      <c r="E27" s="11" t="s">
        <v>89</v>
      </c>
      <c r="F27" s="12"/>
      <c r="G27" s="11" t="s">
        <v>20</v>
      </c>
      <c r="H27" s="11" t="s">
        <v>21</v>
      </c>
      <c r="I27" s="11" t="s">
        <v>22</v>
      </c>
      <c r="J27" s="12"/>
      <c r="K27" s="12"/>
      <c r="L27" s="12"/>
      <c r="M27" s="12"/>
      <c r="N27" s="11" t="s">
        <v>23</v>
      </c>
      <c r="O27" s="34"/>
      <c r="P27" s="35">
        <v>46141.960173611114</v>
      </c>
      <c r="Q27" s="44" t="str">
        <f>HYPERLINK("https://drive.google.com/file/d/15Jwe5yMv4E6_YMnRe8CgE45us_RUzkoC/view", "Payment Link")</f>
        <v>Payment Link</v>
      </c>
    </row>
    <row r="28">
      <c r="A28" s="32"/>
      <c r="B28" s="32"/>
      <c r="C28" s="11" t="s">
        <v>90</v>
      </c>
      <c r="D28" s="11">
        <v>29.0</v>
      </c>
      <c r="E28" s="12"/>
      <c r="F28" s="11" t="s">
        <v>75</v>
      </c>
      <c r="G28" s="11" t="s">
        <v>28</v>
      </c>
      <c r="H28" s="11" t="s">
        <v>21</v>
      </c>
      <c r="I28" s="11" t="s">
        <v>22</v>
      </c>
      <c r="J28" s="11" t="s">
        <v>43</v>
      </c>
      <c r="K28" s="11">
        <v>16.0</v>
      </c>
      <c r="L28" s="12"/>
      <c r="M28" s="12"/>
      <c r="N28" s="11" t="s">
        <v>23</v>
      </c>
      <c r="O28" s="32"/>
      <c r="P28" s="32"/>
      <c r="Q28" s="32"/>
    </row>
    <row r="29">
      <c r="A29" s="37" t="s">
        <v>91</v>
      </c>
      <c r="B29" s="37">
        <v>8.903967041E9</v>
      </c>
      <c r="C29" s="11" t="s">
        <v>91</v>
      </c>
      <c r="D29" s="11">
        <v>28.0</v>
      </c>
      <c r="E29" s="11" t="s">
        <v>92</v>
      </c>
      <c r="F29" s="12"/>
      <c r="G29" s="11" t="s">
        <v>20</v>
      </c>
      <c r="H29" s="11" t="s">
        <v>21</v>
      </c>
      <c r="I29" s="11" t="s">
        <v>93</v>
      </c>
      <c r="J29" s="12"/>
      <c r="K29" s="12"/>
      <c r="L29" s="12"/>
      <c r="M29" s="12"/>
      <c r="N29" s="11" t="s">
        <v>36</v>
      </c>
      <c r="O29" s="38"/>
      <c r="P29" s="39">
        <v>46142.51150462963</v>
      </c>
      <c r="Q29" s="40" t="str">
        <f>HYPERLINK("https://drive.google.com/file/d/1SFJeu1D8T7b37qkk8KRrMZo-CZzNk-b9/view?usp=drivesdk", "Payment Link")</f>
        <v>Payment Link</v>
      </c>
    </row>
    <row r="30">
      <c r="A30" s="33" t="s">
        <v>94</v>
      </c>
      <c r="B30" s="33">
        <v>8.125771789E9</v>
      </c>
      <c r="C30" s="11" t="s">
        <v>94</v>
      </c>
      <c r="D30" s="11">
        <v>37.0</v>
      </c>
      <c r="E30" s="11" t="s">
        <v>95</v>
      </c>
      <c r="F30" s="12"/>
      <c r="G30" s="11" t="s">
        <v>20</v>
      </c>
      <c r="H30" s="11" t="s">
        <v>39</v>
      </c>
      <c r="I30" s="11" t="s">
        <v>22</v>
      </c>
      <c r="J30" s="12"/>
      <c r="K30" s="12"/>
      <c r="L30" s="12"/>
      <c r="M30" s="12"/>
      <c r="N30" s="11" t="s">
        <v>23</v>
      </c>
      <c r="O30" s="41" t="s">
        <v>96</v>
      </c>
      <c r="P30" s="35">
        <v>46142.528495370374</v>
      </c>
      <c r="Q30" s="36" t="str">
        <f>HYPERLINK("https://drive.google.com/file/d/1OwwpOme6K9Zg0aPyWc56cPSCnbCOM8FJ/view?usp=drivesdk", "Payment Link")</f>
        <v>Payment Link</v>
      </c>
    </row>
    <row r="31">
      <c r="A31" s="10"/>
      <c r="B31" s="10"/>
      <c r="C31" s="11" t="s">
        <v>97</v>
      </c>
      <c r="D31" s="11">
        <v>33.0</v>
      </c>
      <c r="E31" s="12"/>
      <c r="F31" s="11" t="s">
        <v>75</v>
      </c>
      <c r="G31" s="11" t="s">
        <v>28</v>
      </c>
      <c r="H31" s="11" t="s">
        <v>39</v>
      </c>
      <c r="I31" s="11" t="s">
        <v>22</v>
      </c>
      <c r="J31" s="11" t="s">
        <v>26</v>
      </c>
      <c r="K31" s="11" t="s">
        <v>29</v>
      </c>
      <c r="L31" s="12"/>
      <c r="M31" s="11" t="s">
        <v>98</v>
      </c>
      <c r="N31" s="11" t="s">
        <v>23</v>
      </c>
      <c r="O31" s="10"/>
      <c r="P31" s="10"/>
      <c r="Q31" s="10"/>
    </row>
    <row r="32">
      <c r="A32" s="10"/>
      <c r="B32" s="10"/>
      <c r="C32" s="11" t="s">
        <v>99</v>
      </c>
      <c r="D32" s="11">
        <v>6.0</v>
      </c>
      <c r="E32" s="12"/>
      <c r="F32" s="11" t="s">
        <v>54</v>
      </c>
      <c r="G32" s="11" t="s">
        <v>28</v>
      </c>
      <c r="H32" s="11" t="s">
        <v>39</v>
      </c>
      <c r="I32" s="11" t="s">
        <v>100</v>
      </c>
      <c r="J32" s="11" t="s">
        <v>43</v>
      </c>
      <c r="K32" s="11" t="s">
        <v>29</v>
      </c>
      <c r="L32" s="12"/>
      <c r="M32" s="11" t="s">
        <v>98</v>
      </c>
      <c r="N32" s="11" t="s">
        <v>23</v>
      </c>
      <c r="O32" s="10"/>
      <c r="P32" s="10"/>
      <c r="Q32" s="10"/>
    </row>
    <row r="33">
      <c r="A33" s="10"/>
      <c r="B33" s="10"/>
      <c r="C33" s="11" t="s">
        <v>101</v>
      </c>
      <c r="D33" s="11">
        <v>4.0</v>
      </c>
      <c r="E33" s="12"/>
      <c r="F33" s="11" t="s">
        <v>54</v>
      </c>
      <c r="G33" s="11" t="s">
        <v>28</v>
      </c>
      <c r="H33" s="11" t="s">
        <v>39</v>
      </c>
      <c r="I33" s="11" t="s">
        <v>100</v>
      </c>
      <c r="J33" s="11" t="s">
        <v>43</v>
      </c>
      <c r="K33" s="11" t="s">
        <v>29</v>
      </c>
      <c r="L33" s="12"/>
      <c r="M33" s="11" t="s">
        <v>98</v>
      </c>
      <c r="N33" s="11" t="s">
        <v>23</v>
      </c>
      <c r="O33" s="10"/>
      <c r="P33" s="10"/>
      <c r="Q33" s="10"/>
    </row>
    <row r="34">
      <c r="A34" s="32"/>
      <c r="B34" s="32"/>
      <c r="C34" s="11" t="s">
        <v>102</v>
      </c>
      <c r="D34" s="11">
        <v>3.0</v>
      </c>
      <c r="E34" s="12"/>
      <c r="F34" s="11" t="s">
        <v>54</v>
      </c>
      <c r="G34" s="11" t="s">
        <v>28</v>
      </c>
      <c r="H34" s="11" t="s">
        <v>39</v>
      </c>
      <c r="I34" s="11" t="s">
        <v>100</v>
      </c>
      <c r="J34" s="11" t="s">
        <v>43</v>
      </c>
      <c r="K34" s="11" t="s">
        <v>29</v>
      </c>
      <c r="L34" s="12"/>
      <c r="M34" s="11" t="s">
        <v>98</v>
      </c>
      <c r="N34" s="11" t="s">
        <v>23</v>
      </c>
      <c r="O34" s="32"/>
      <c r="P34" s="32"/>
      <c r="Q34" s="32"/>
    </row>
    <row r="35">
      <c r="A35" s="37" t="s">
        <v>103</v>
      </c>
      <c r="B35" s="37">
        <v>9.502139266E9</v>
      </c>
      <c r="C35" s="11" t="s">
        <v>103</v>
      </c>
      <c r="D35" s="11">
        <v>27.0</v>
      </c>
      <c r="E35" s="11" t="s">
        <v>104</v>
      </c>
      <c r="F35" s="12"/>
      <c r="G35" s="11" t="s">
        <v>20</v>
      </c>
      <c r="H35" s="11" t="s">
        <v>21</v>
      </c>
      <c r="I35" s="11" t="s">
        <v>22</v>
      </c>
      <c r="J35" s="12"/>
      <c r="K35" s="12"/>
      <c r="L35" s="12"/>
      <c r="M35" s="12"/>
      <c r="N35" s="11" t="s">
        <v>23</v>
      </c>
      <c r="O35" s="38"/>
      <c r="P35" s="39">
        <v>46142.590995370374</v>
      </c>
      <c r="Q35" s="40" t="str">
        <f>HYPERLINK("https://drive.google.com/file/d/1x10FNHAX2gls_JSVp899zD2qsqT3OPwb/view?usp=drivesdk", "Payment Link")</f>
        <v>Payment Link</v>
      </c>
    </row>
    <row r="36">
      <c r="A36" s="33" t="s">
        <v>105</v>
      </c>
      <c r="B36" s="33">
        <v>9.789020085E9</v>
      </c>
      <c r="C36" s="11" t="s">
        <v>105</v>
      </c>
      <c r="D36" s="11">
        <v>33.0</v>
      </c>
      <c r="E36" s="11" t="s">
        <v>106</v>
      </c>
      <c r="F36" s="12"/>
      <c r="G36" s="11" t="s">
        <v>20</v>
      </c>
      <c r="H36" s="11" t="s">
        <v>21</v>
      </c>
      <c r="I36" s="11" t="s">
        <v>47</v>
      </c>
      <c r="J36" s="12"/>
      <c r="K36" s="12"/>
      <c r="L36" s="12"/>
      <c r="M36" s="12"/>
      <c r="N36" s="11" t="s">
        <v>36</v>
      </c>
      <c r="O36" s="34"/>
      <c r="P36" s="35">
        <v>46142.68763888889</v>
      </c>
      <c r="Q36" s="36" t="str">
        <f>HYPERLINK("https://drive.google.com/file/d/1w32zbx3SRYmcekomixKZUnufLAmBgSXr/view?usp=drivesdk", "Payment Link")</f>
        <v>Payment Link</v>
      </c>
    </row>
    <row r="37">
      <c r="A37" s="32"/>
      <c r="B37" s="32"/>
      <c r="C37" s="11" t="s">
        <v>107</v>
      </c>
      <c r="D37" s="11">
        <v>34.0</v>
      </c>
      <c r="E37" s="12"/>
      <c r="F37" s="11" t="s">
        <v>75</v>
      </c>
      <c r="G37" s="11" t="s">
        <v>28</v>
      </c>
      <c r="H37" s="11" t="s">
        <v>39</v>
      </c>
      <c r="I37" s="11" t="s">
        <v>100</v>
      </c>
      <c r="J37" s="11" t="s">
        <v>43</v>
      </c>
      <c r="K37" s="11" t="s">
        <v>108</v>
      </c>
      <c r="L37" s="12"/>
      <c r="M37" s="11" t="s">
        <v>109</v>
      </c>
      <c r="N37" s="11" t="s">
        <v>36</v>
      </c>
      <c r="O37" s="32"/>
      <c r="P37" s="32"/>
      <c r="Q37" s="32"/>
    </row>
    <row r="38">
      <c r="A38" s="33" t="s">
        <v>110</v>
      </c>
      <c r="B38" s="33">
        <v>8.27748729E9</v>
      </c>
      <c r="C38" s="11" t="s">
        <v>110</v>
      </c>
      <c r="D38" s="11">
        <v>27.0</v>
      </c>
      <c r="E38" s="11" t="s">
        <v>111</v>
      </c>
      <c r="F38" s="12"/>
      <c r="G38" s="11" t="s">
        <v>20</v>
      </c>
      <c r="H38" s="11" t="s">
        <v>21</v>
      </c>
      <c r="I38" s="11" t="s">
        <v>40</v>
      </c>
      <c r="J38" s="12"/>
      <c r="K38" s="12"/>
      <c r="L38" s="12"/>
      <c r="M38" s="12"/>
      <c r="N38" s="11" t="s">
        <v>23</v>
      </c>
      <c r="O38" s="41" t="s">
        <v>112</v>
      </c>
      <c r="P38" s="35">
        <v>46142.69671296296</v>
      </c>
      <c r="Q38" s="36" t="str">
        <f>HYPERLINK("https://drive.google.com/file/d/10mSWxFajC5yCWO8ghyCi5zuaSbuWFQnv/view?usp=drivesdk", "Payment Link")</f>
        <v>Payment Link</v>
      </c>
    </row>
    <row r="39">
      <c r="A39" s="32"/>
      <c r="B39" s="32"/>
      <c r="C39" s="11" t="s">
        <v>113</v>
      </c>
      <c r="D39" s="11">
        <v>24.0</v>
      </c>
      <c r="E39" s="12"/>
      <c r="F39" s="11" t="s">
        <v>114</v>
      </c>
      <c r="G39" s="11" t="s">
        <v>20</v>
      </c>
      <c r="H39" s="11" t="s">
        <v>21</v>
      </c>
      <c r="I39" s="11" t="s">
        <v>40</v>
      </c>
      <c r="J39" s="11" t="s">
        <v>43</v>
      </c>
      <c r="K39" s="11">
        <v>0.0</v>
      </c>
      <c r="L39" s="12"/>
      <c r="M39" s="11" t="s">
        <v>115</v>
      </c>
      <c r="N39" s="11" t="s">
        <v>23</v>
      </c>
      <c r="O39" s="32"/>
      <c r="P39" s="32"/>
      <c r="Q39" s="32"/>
    </row>
    <row r="40">
      <c r="A40" s="33" t="s">
        <v>116</v>
      </c>
      <c r="B40" s="33">
        <v>9.108759341E9</v>
      </c>
      <c r="C40" s="11" t="s">
        <v>116</v>
      </c>
      <c r="D40" s="11">
        <v>31.0</v>
      </c>
      <c r="E40" s="11" t="s">
        <v>117</v>
      </c>
      <c r="F40" s="12"/>
      <c r="G40" s="11" t="s">
        <v>20</v>
      </c>
      <c r="H40" s="11" t="s">
        <v>21</v>
      </c>
      <c r="I40" s="11" t="s">
        <v>22</v>
      </c>
      <c r="J40" s="12"/>
      <c r="K40" s="12"/>
      <c r="L40" s="12"/>
      <c r="M40" s="12"/>
      <c r="N40" s="11" t="s">
        <v>23</v>
      </c>
      <c r="O40" s="34"/>
      <c r="P40" s="35">
        <v>46142.861122685186</v>
      </c>
      <c r="Q40" s="36" t="str">
        <f>HYPERLINK("https://drive.google.com/file/d/1eNNRzv_d399JBYzoSTOK9ig4O8E7xuRb/view?usp=drivesdk", "Payment Link")</f>
        <v>Payment Link</v>
      </c>
    </row>
    <row r="41">
      <c r="A41" s="10"/>
      <c r="B41" s="10"/>
      <c r="C41" s="11" t="s">
        <v>118</v>
      </c>
      <c r="D41" s="11">
        <v>28.0</v>
      </c>
      <c r="E41" s="12"/>
      <c r="F41" s="11" t="s">
        <v>75</v>
      </c>
      <c r="G41" s="11" t="s">
        <v>28</v>
      </c>
      <c r="H41" s="11" t="s">
        <v>21</v>
      </c>
      <c r="I41" s="11" t="s">
        <v>22</v>
      </c>
      <c r="J41" s="11" t="s">
        <v>43</v>
      </c>
      <c r="K41" s="11" t="s">
        <v>60</v>
      </c>
      <c r="L41" s="12"/>
      <c r="M41" s="11" t="s">
        <v>119</v>
      </c>
      <c r="N41" s="11" t="s">
        <v>23</v>
      </c>
      <c r="O41" s="10"/>
      <c r="P41" s="10"/>
      <c r="Q41" s="10"/>
    </row>
    <row r="42">
      <c r="A42" s="32"/>
      <c r="B42" s="32"/>
      <c r="C42" s="11" t="s">
        <v>120</v>
      </c>
      <c r="D42" s="11">
        <v>1.0</v>
      </c>
      <c r="E42" s="12"/>
      <c r="F42" s="11" t="s">
        <v>121</v>
      </c>
      <c r="G42" s="11" t="s">
        <v>28</v>
      </c>
      <c r="H42" s="11" t="s">
        <v>39</v>
      </c>
      <c r="I42" s="11" t="s">
        <v>22</v>
      </c>
      <c r="J42" s="11" t="s">
        <v>43</v>
      </c>
      <c r="K42" s="11">
        <v>0.0</v>
      </c>
      <c r="L42" s="12"/>
      <c r="M42" s="12"/>
      <c r="N42" s="11" t="s">
        <v>23</v>
      </c>
      <c r="O42" s="32"/>
      <c r="P42" s="32"/>
      <c r="Q42" s="32"/>
    </row>
    <row r="43">
      <c r="A43" s="33" t="s">
        <v>122</v>
      </c>
      <c r="B43" s="33">
        <v>7.338705509E9</v>
      </c>
      <c r="C43" s="11" t="s">
        <v>122</v>
      </c>
      <c r="D43" s="11">
        <v>34.0</v>
      </c>
      <c r="E43" s="11" t="s">
        <v>123</v>
      </c>
      <c r="F43" s="12"/>
      <c r="G43" s="11" t="s">
        <v>28</v>
      </c>
      <c r="H43" s="11" t="s">
        <v>21</v>
      </c>
      <c r="I43" s="11" t="s">
        <v>59</v>
      </c>
      <c r="J43" s="12"/>
      <c r="K43" s="12"/>
      <c r="L43" s="12"/>
      <c r="M43" s="12"/>
      <c r="N43" s="11" t="s">
        <v>36</v>
      </c>
      <c r="O43" s="41" t="s">
        <v>66</v>
      </c>
      <c r="P43" s="35">
        <v>46142.86261574074</v>
      </c>
      <c r="Q43" s="36" t="str">
        <f>HYPERLINK("https://drive.google.com/file/d/1KymiBiZaDBhvqBUIm_s2W3nEAm0XDj4n/view?usp=drivesdk", "Payment Link")</f>
        <v>Payment Link</v>
      </c>
    </row>
    <row r="44">
      <c r="A44" s="32"/>
      <c r="B44" s="32"/>
      <c r="C44" s="11" t="s">
        <v>124</v>
      </c>
      <c r="D44" s="11">
        <v>35.0</v>
      </c>
      <c r="E44" s="12"/>
      <c r="F44" s="11" t="s">
        <v>75</v>
      </c>
      <c r="G44" s="11" t="s">
        <v>20</v>
      </c>
      <c r="H44" s="11" t="s">
        <v>21</v>
      </c>
      <c r="I44" s="11" t="s">
        <v>22</v>
      </c>
      <c r="J44" s="11" t="s">
        <v>43</v>
      </c>
      <c r="K44" s="11">
        <v>16.0</v>
      </c>
      <c r="L44" s="12"/>
      <c r="M44" s="12"/>
      <c r="N44" s="11" t="s">
        <v>36</v>
      </c>
      <c r="O44" s="32"/>
      <c r="P44" s="32"/>
      <c r="Q44" s="32"/>
    </row>
    <row r="45">
      <c r="A45" s="37" t="s">
        <v>125</v>
      </c>
      <c r="B45" s="37">
        <v>9.88468282E9</v>
      </c>
      <c r="C45" s="11" t="s">
        <v>125</v>
      </c>
      <c r="D45" s="11">
        <v>31.0</v>
      </c>
      <c r="E45" s="11" t="s">
        <v>126</v>
      </c>
      <c r="F45" s="12"/>
      <c r="G45" s="11" t="s">
        <v>20</v>
      </c>
      <c r="H45" s="11" t="s">
        <v>21</v>
      </c>
      <c r="I45" s="11" t="s">
        <v>40</v>
      </c>
      <c r="J45" s="12"/>
      <c r="K45" s="12"/>
      <c r="L45" s="12"/>
      <c r="M45" s="12"/>
      <c r="N45" s="11" t="s">
        <v>36</v>
      </c>
      <c r="O45" s="45" t="s">
        <v>127</v>
      </c>
      <c r="P45" s="39">
        <v>46144.35054398148</v>
      </c>
      <c r="Q45" s="40" t="str">
        <f>HYPERLINK("https://drive.google.com/file/d/17X3uplILeurnVlorjXpc8SKTrqHW9OE0/view?usp=drivesdk", "Payment Link")</f>
        <v>Payment Link</v>
      </c>
    </row>
    <row r="46">
      <c r="A46" s="37" t="s">
        <v>128</v>
      </c>
      <c r="B46" s="37">
        <v>8.920165876E9</v>
      </c>
      <c r="C46" s="11" t="s">
        <v>128</v>
      </c>
      <c r="D46" s="11">
        <v>22.0</v>
      </c>
      <c r="E46" s="11" t="s">
        <v>129</v>
      </c>
      <c r="F46" s="12"/>
      <c r="G46" s="11" t="s">
        <v>28</v>
      </c>
      <c r="H46" s="11" t="s">
        <v>21</v>
      </c>
      <c r="I46" s="11" t="s">
        <v>93</v>
      </c>
      <c r="J46" s="12"/>
      <c r="K46" s="12"/>
      <c r="L46" s="12"/>
      <c r="M46" s="12"/>
      <c r="N46" s="11" t="s">
        <v>36</v>
      </c>
      <c r="O46" s="38"/>
      <c r="P46" s="39">
        <v>46144.456608796296</v>
      </c>
      <c r="Q46" s="40" t="str">
        <f>HYPERLINK("https://drive.google.com/file/d/1g_N3J8s3bD5dWcwLC6crWY3FA3bCbv4c/view?usp=drivesdk", "Payment Link")</f>
        <v>Payment Link</v>
      </c>
    </row>
    <row r="47">
      <c r="A47" s="33" t="s">
        <v>82</v>
      </c>
      <c r="B47" s="33">
        <v>9.381002799E9</v>
      </c>
      <c r="C47" s="11" t="s">
        <v>130</v>
      </c>
      <c r="D47" s="11">
        <v>50.0</v>
      </c>
      <c r="E47" s="12"/>
      <c r="F47" s="11" t="s">
        <v>45</v>
      </c>
      <c r="G47" s="11" t="s">
        <v>28</v>
      </c>
      <c r="H47" s="11" t="s">
        <v>21</v>
      </c>
      <c r="I47" s="11" t="s">
        <v>22</v>
      </c>
      <c r="J47" s="11" t="s">
        <v>43</v>
      </c>
      <c r="K47" s="11" t="s">
        <v>29</v>
      </c>
      <c r="L47" s="12"/>
      <c r="M47" s="11" t="s">
        <v>131</v>
      </c>
      <c r="N47" s="11" t="s">
        <v>23</v>
      </c>
      <c r="O47" s="34"/>
      <c r="P47" s="35">
        <v>46144.701840277776</v>
      </c>
      <c r="Q47" s="36" t="str">
        <f>HYPERLINK("https://drive.google.com/file/d/1WyhIXJe7LsE_6BEUw1BeLKOtN7eF-wZx/view?usp=drivesdk", "Payment Link")</f>
        <v>Payment Link</v>
      </c>
    </row>
    <row r="48">
      <c r="A48" s="32"/>
      <c r="B48" s="32"/>
      <c r="C48" s="11" t="s">
        <v>132</v>
      </c>
      <c r="D48" s="11">
        <v>23.0</v>
      </c>
      <c r="E48" s="12"/>
      <c r="F48" s="11" t="s">
        <v>133</v>
      </c>
      <c r="G48" s="11" t="s">
        <v>20</v>
      </c>
      <c r="H48" s="11" t="s">
        <v>21</v>
      </c>
      <c r="I48" s="11" t="s">
        <v>22</v>
      </c>
      <c r="J48" s="11" t="s">
        <v>43</v>
      </c>
      <c r="K48" s="11" t="s">
        <v>60</v>
      </c>
      <c r="L48" s="12"/>
      <c r="M48" s="11" t="s">
        <v>134</v>
      </c>
      <c r="N48" s="11" t="s">
        <v>23</v>
      </c>
      <c r="O48" s="32"/>
      <c r="P48" s="32"/>
      <c r="Q48" s="32"/>
    </row>
    <row r="49">
      <c r="A49" s="33" t="s">
        <v>135</v>
      </c>
      <c r="B49" s="33">
        <v>9.84056777E9</v>
      </c>
      <c r="C49" s="11" t="s">
        <v>135</v>
      </c>
      <c r="D49" s="11">
        <v>40.0</v>
      </c>
      <c r="E49" s="11" t="s">
        <v>136</v>
      </c>
      <c r="F49" s="12"/>
      <c r="G49" s="11" t="s">
        <v>20</v>
      </c>
      <c r="H49" s="11" t="s">
        <v>21</v>
      </c>
      <c r="I49" s="11" t="s">
        <v>22</v>
      </c>
      <c r="J49" s="12"/>
      <c r="K49" s="12"/>
      <c r="L49" s="12"/>
      <c r="M49" s="12"/>
      <c r="N49" s="11" t="s">
        <v>23</v>
      </c>
      <c r="O49" s="34"/>
      <c r="P49" s="35">
        <v>46145.769641203704</v>
      </c>
      <c r="Q49" s="36" t="str">
        <f>HYPERLINK("https://drive.google.com/file/d/1B7qoZVbtQ_SYN55sNbNiSjtHSUI_h9aa/view?usp=drivesdk", "Payment Link")</f>
        <v>Payment Link</v>
      </c>
    </row>
    <row r="50">
      <c r="A50" s="10"/>
      <c r="B50" s="10"/>
      <c r="C50" s="11" t="s">
        <v>137</v>
      </c>
      <c r="D50" s="11">
        <v>38.0</v>
      </c>
      <c r="E50" s="12"/>
      <c r="F50" s="11" t="s">
        <v>75</v>
      </c>
      <c r="G50" s="11" t="s">
        <v>28</v>
      </c>
      <c r="H50" s="11" t="s">
        <v>21</v>
      </c>
      <c r="I50" s="11" t="s">
        <v>22</v>
      </c>
      <c r="J50" s="11" t="s">
        <v>26</v>
      </c>
      <c r="K50" s="11">
        <v>16.0</v>
      </c>
      <c r="L50" s="12"/>
      <c r="M50" s="11" t="s">
        <v>138</v>
      </c>
      <c r="N50" s="11" t="s">
        <v>23</v>
      </c>
      <c r="O50" s="10"/>
      <c r="P50" s="10"/>
      <c r="Q50" s="10"/>
    </row>
    <row r="51">
      <c r="A51" s="10"/>
      <c r="B51" s="10"/>
      <c r="C51" s="11" t="s">
        <v>139</v>
      </c>
      <c r="D51" s="11">
        <v>11.0</v>
      </c>
      <c r="E51" s="12"/>
      <c r="F51" s="11" t="s">
        <v>54</v>
      </c>
      <c r="G51" s="11" t="s">
        <v>28</v>
      </c>
      <c r="H51" s="11" t="s">
        <v>21</v>
      </c>
      <c r="I51" s="11" t="s">
        <v>22</v>
      </c>
      <c r="J51" s="11" t="s">
        <v>43</v>
      </c>
      <c r="K51" s="11">
        <v>0.0</v>
      </c>
      <c r="L51" s="12"/>
      <c r="M51" s="11" t="s">
        <v>140</v>
      </c>
      <c r="N51" s="11" t="s">
        <v>23</v>
      </c>
      <c r="O51" s="10"/>
      <c r="P51" s="10"/>
      <c r="Q51" s="10"/>
    </row>
    <row r="52">
      <c r="A52" s="10"/>
      <c r="B52" s="10"/>
      <c r="C52" s="11" t="s">
        <v>141</v>
      </c>
      <c r="D52" s="11">
        <v>63.0</v>
      </c>
      <c r="E52" s="12"/>
      <c r="F52" s="11" t="s">
        <v>45</v>
      </c>
      <c r="G52" s="11" t="s">
        <v>28</v>
      </c>
      <c r="H52" s="11" t="s">
        <v>21</v>
      </c>
      <c r="I52" s="11" t="s">
        <v>25</v>
      </c>
      <c r="J52" s="11" t="s">
        <v>26</v>
      </c>
      <c r="K52" s="11">
        <v>16.0</v>
      </c>
      <c r="L52" s="12"/>
      <c r="M52" s="11" t="s">
        <v>140</v>
      </c>
      <c r="N52" s="11" t="s">
        <v>23</v>
      </c>
      <c r="O52" s="10"/>
      <c r="P52" s="10"/>
      <c r="Q52" s="10"/>
    </row>
    <row r="53">
      <c r="A53" s="10"/>
      <c r="B53" s="10"/>
      <c r="C53" s="11" t="s">
        <v>142</v>
      </c>
      <c r="D53" s="11">
        <v>40.0</v>
      </c>
      <c r="E53" s="12"/>
      <c r="F53" s="11" t="s">
        <v>143</v>
      </c>
      <c r="G53" s="11" t="s">
        <v>20</v>
      </c>
      <c r="H53" s="11" t="s">
        <v>21</v>
      </c>
      <c r="I53" s="11" t="s">
        <v>22</v>
      </c>
      <c r="J53" s="11" t="s">
        <v>43</v>
      </c>
      <c r="K53" s="11" t="s">
        <v>108</v>
      </c>
      <c r="L53" s="12"/>
      <c r="M53" s="11" t="s">
        <v>144</v>
      </c>
      <c r="N53" s="11" t="s">
        <v>23</v>
      </c>
      <c r="O53" s="10"/>
      <c r="P53" s="10"/>
      <c r="Q53" s="10"/>
    </row>
    <row r="54">
      <c r="A54" s="10"/>
      <c r="B54" s="10"/>
      <c r="C54" s="11" t="s">
        <v>145</v>
      </c>
      <c r="D54" s="11">
        <v>35.0</v>
      </c>
      <c r="E54" s="12"/>
      <c r="F54" s="11" t="s">
        <v>146</v>
      </c>
      <c r="G54" s="11" t="s">
        <v>28</v>
      </c>
      <c r="H54" s="11" t="s">
        <v>21</v>
      </c>
      <c r="I54" s="11" t="s">
        <v>22</v>
      </c>
      <c r="J54" s="11" t="s">
        <v>26</v>
      </c>
      <c r="K54" s="11">
        <v>0.0</v>
      </c>
      <c r="L54" s="12"/>
      <c r="M54" s="11" t="s">
        <v>147</v>
      </c>
      <c r="N54" s="11" t="s">
        <v>23</v>
      </c>
      <c r="O54" s="10"/>
      <c r="P54" s="10"/>
      <c r="Q54" s="10"/>
    </row>
    <row r="55">
      <c r="A55" s="10"/>
      <c r="B55" s="10"/>
      <c r="C55" s="11" t="s">
        <v>148</v>
      </c>
      <c r="D55" s="11">
        <v>9.0</v>
      </c>
      <c r="E55" s="12"/>
      <c r="F55" s="11" t="s">
        <v>149</v>
      </c>
      <c r="G55" s="11" t="s">
        <v>28</v>
      </c>
      <c r="H55" s="11" t="s">
        <v>21</v>
      </c>
      <c r="I55" s="11" t="s">
        <v>33</v>
      </c>
      <c r="J55" s="11" t="s">
        <v>43</v>
      </c>
      <c r="K55" s="11">
        <v>0.0</v>
      </c>
      <c r="L55" s="12"/>
      <c r="M55" s="11" t="s">
        <v>147</v>
      </c>
      <c r="N55" s="11" t="s">
        <v>23</v>
      </c>
      <c r="O55" s="10"/>
      <c r="P55" s="10"/>
      <c r="Q55" s="10"/>
    </row>
    <row r="56">
      <c r="A56" s="10"/>
      <c r="B56" s="10"/>
      <c r="C56" s="11" t="s">
        <v>150</v>
      </c>
      <c r="D56" s="11">
        <v>3.0</v>
      </c>
      <c r="E56" s="12"/>
      <c r="F56" s="11" t="s">
        <v>149</v>
      </c>
      <c r="G56" s="11" t="s">
        <v>28</v>
      </c>
      <c r="H56" s="11" t="s">
        <v>21</v>
      </c>
      <c r="I56" s="11" t="s">
        <v>25</v>
      </c>
      <c r="J56" s="11" t="s">
        <v>43</v>
      </c>
      <c r="K56" s="11">
        <v>0.0</v>
      </c>
      <c r="L56" s="12"/>
      <c r="M56" s="11" t="s">
        <v>151</v>
      </c>
      <c r="N56" s="11" t="s">
        <v>23</v>
      </c>
      <c r="O56" s="10"/>
      <c r="P56" s="10"/>
      <c r="Q56" s="10"/>
    </row>
    <row r="57">
      <c r="A57" s="10"/>
      <c r="B57" s="10"/>
      <c r="C57" s="11" t="s">
        <v>152</v>
      </c>
      <c r="D57" s="11">
        <v>36.0</v>
      </c>
      <c r="E57" s="12"/>
      <c r="F57" s="11" t="s">
        <v>153</v>
      </c>
      <c r="G57" s="11" t="s">
        <v>20</v>
      </c>
      <c r="H57" s="11" t="s">
        <v>21</v>
      </c>
      <c r="I57" s="11" t="s">
        <v>22</v>
      </c>
      <c r="J57" s="11" t="s">
        <v>43</v>
      </c>
      <c r="K57" s="11" t="s">
        <v>29</v>
      </c>
      <c r="L57" s="12"/>
      <c r="M57" s="11" t="s">
        <v>147</v>
      </c>
      <c r="N57" s="11" t="s">
        <v>23</v>
      </c>
      <c r="O57" s="10"/>
      <c r="P57" s="10"/>
      <c r="Q57" s="10"/>
    </row>
    <row r="58">
      <c r="A58" s="10"/>
      <c r="B58" s="10"/>
      <c r="C58" s="11" t="s">
        <v>154</v>
      </c>
      <c r="D58" s="11">
        <v>30.0</v>
      </c>
      <c r="E58" s="12"/>
      <c r="F58" s="11" t="s">
        <v>155</v>
      </c>
      <c r="G58" s="11" t="s">
        <v>28</v>
      </c>
      <c r="H58" s="11" t="s">
        <v>21</v>
      </c>
      <c r="I58" s="11" t="s">
        <v>22</v>
      </c>
      <c r="J58" s="11" t="s">
        <v>43</v>
      </c>
      <c r="K58" s="11" t="s">
        <v>60</v>
      </c>
      <c r="L58" s="12"/>
      <c r="M58" s="11" t="s">
        <v>147</v>
      </c>
      <c r="N58" s="11" t="s">
        <v>23</v>
      </c>
      <c r="O58" s="10"/>
      <c r="P58" s="10"/>
      <c r="Q58" s="10"/>
    </row>
    <row r="59">
      <c r="A59" s="32"/>
      <c r="B59" s="32"/>
      <c r="C59" s="11" t="s">
        <v>156</v>
      </c>
      <c r="D59" s="11">
        <v>2.0</v>
      </c>
      <c r="E59" s="12"/>
      <c r="F59" s="11" t="s">
        <v>157</v>
      </c>
      <c r="G59" s="11" t="s">
        <v>20</v>
      </c>
      <c r="H59" s="11" t="s">
        <v>39</v>
      </c>
      <c r="I59" s="11" t="s">
        <v>100</v>
      </c>
      <c r="J59" s="11" t="s">
        <v>43</v>
      </c>
      <c r="K59" s="11">
        <v>0.0</v>
      </c>
      <c r="L59" s="12"/>
      <c r="M59" s="11" t="s">
        <v>157</v>
      </c>
      <c r="N59" s="11" t="s">
        <v>23</v>
      </c>
      <c r="O59" s="32"/>
      <c r="P59" s="32"/>
      <c r="Q59" s="32"/>
    </row>
    <row r="60">
      <c r="A60" s="33" t="s">
        <v>158</v>
      </c>
      <c r="B60" s="33">
        <v>9.493239649E9</v>
      </c>
      <c r="C60" s="11" t="s">
        <v>158</v>
      </c>
      <c r="D60" s="11">
        <v>26.0</v>
      </c>
      <c r="E60" s="11" t="s">
        <v>159</v>
      </c>
      <c r="F60" s="12"/>
      <c r="G60" s="11" t="s">
        <v>20</v>
      </c>
      <c r="H60" s="11" t="s">
        <v>21</v>
      </c>
      <c r="I60" s="11" t="s">
        <v>59</v>
      </c>
      <c r="J60" s="12"/>
      <c r="K60" s="12"/>
      <c r="L60" s="12"/>
      <c r="M60" s="12"/>
      <c r="N60" s="11" t="s">
        <v>23</v>
      </c>
      <c r="O60" s="41"/>
      <c r="P60" s="35">
        <v>46145.82613425926</v>
      </c>
      <c r="Q60" s="44" t="str">
        <f>HYPERLINK("https://drive.google.com/file/d/1zuORZDxc0fDYII9FTM5vKiyBHLaOu2bI/view", "Payment Link")</f>
        <v>Payment Link</v>
      </c>
    </row>
    <row r="61">
      <c r="A61" s="10"/>
      <c r="B61" s="10"/>
      <c r="C61" s="11" t="s">
        <v>160</v>
      </c>
      <c r="D61" s="11">
        <v>62.0</v>
      </c>
      <c r="E61" s="12"/>
      <c r="F61" s="11" t="s">
        <v>68</v>
      </c>
      <c r="G61" s="11" t="s">
        <v>20</v>
      </c>
      <c r="H61" s="11" t="s">
        <v>39</v>
      </c>
      <c r="I61" s="11" t="s">
        <v>25</v>
      </c>
      <c r="J61" s="11" t="s">
        <v>26</v>
      </c>
      <c r="K61" s="11" t="s">
        <v>60</v>
      </c>
      <c r="L61" s="12"/>
      <c r="M61" s="12"/>
      <c r="N61" s="11" t="s">
        <v>23</v>
      </c>
      <c r="O61" s="10"/>
      <c r="P61" s="10"/>
      <c r="Q61" s="10"/>
    </row>
    <row r="62">
      <c r="A62" s="32"/>
      <c r="B62" s="32"/>
      <c r="C62" s="11" t="s">
        <v>161</v>
      </c>
      <c r="D62" s="11">
        <v>52.0</v>
      </c>
      <c r="E62" s="12"/>
      <c r="F62" s="11" t="s">
        <v>45</v>
      </c>
      <c r="G62" s="11" t="s">
        <v>28</v>
      </c>
      <c r="H62" s="11" t="s">
        <v>39</v>
      </c>
      <c r="I62" s="11" t="s">
        <v>25</v>
      </c>
      <c r="J62" s="11" t="s">
        <v>26</v>
      </c>
      <c r="K62" s="11" t="s">
        <v>29</v>
      </c>
      <c r="L62" s="12"/>
      <c r="M62" s="12"/>
      <c r="N62" s="11" t="s">
        <v>23</v>
      </c>
      <c r="O62" s="32"/>
      <c r="P62" s="32"/>
      <c r="Q62" s="32"/>
    </row>
    <row r="63">
      <c r="A63" s="33" t="s">
        <v>162</v>
      </c>
      <c r="B63" s="33">
        <v>6.302497806E9</v>
      </c>
      <c r="C63" s="11" t="s">
        <v>162</v>
      </c>
      <c r="D63" s="11">
        <v>22.0</v>
      </c>
      <c r="E63" s="11" t="s">
        <v>163</v>
      </c>
      <c r="F63" s="12"/>
      <c r="G63" s="11" t="s">
        <v>28</v>
      </c>
      <c r="H63" s="11" t="s">
        <v>21</v>
      </c>
      <c r="I63" s="11" t="s">
        <v>50</v>
      </c>
      <c r="J63" s="12"/>
      <c r="K63" s="12"/>
      <c r="L63" s="12"/>
      <c r="M63" s="12"/>
      <c r="N63" s="11" t="s">
        <v>36</v>
      </c>
      <c r="O63" s="34"/>
      <c r="P63" s="35">
        <v>46146.65725694445</v>
      </c>
      <c r="Q63" s="36" t="str">
        <f>HYPERLINK("https://drive.google.com/file/d/1iXFJfUSEirrU9L9OQa-SMmMsMp6Wh3PZ/view?usp=drivesdk", "Payment Link")</f>
        <v>Payment Link</v>
      </c>
    </row>
    <row r="64">
      <c r="A64" s="10"/>
      <c r="B64" s="10"/>
      <c r="C64" s="11" t="s">
        <v>164</v>
      </c>
      <c r="D64" s="11">
        <v>23.0</v>
      </c>
      <c r="E64" s="12"/>
      <c r="F64" s="11" t="s">
        <v>165</v>
      </c>
      <c r="G64" s="11" t="s">
        <v>28</v>
      </c>
      <c r="H64" s="11" t="s">
        <v>21</v>
      </c>
      <c r="I64" s="11" t="s">
        <v>22</v>
      </c>
      <c r="J64" s="11" t="s">
        <v>43</v>
      </c>
      <c r="K64" s="11" t="s">
        <v>29</v>
      </c>
      <c r="L64" s="12"/>
      <c r="M64" s="11" t="s">
        <v>140</v>
      </c>
      <c r="N64" s="11" t="s">
        <v>36</v>
      </c>
      <c r="O64" s="10"/>
      <c r="P64" s="10"/>
      <c r="Q64" s="10"/>
    </row>
    <row r="65">
      <c r="A65" s="10"/>
      <c r="B65" s="10"/>
      <c r="C65" s="11" t="s">
        <v>166</v>
      </c>
      <c r="D65" s="11">
        <v>22.0</v>
      </c>
      <c r="E65" s="12"/>
      <c r="F65" s="11" t="s">
        <v>143</v>
      </c>
      <c r="G65" s="11" t="s">
        <v>28</v>
      </c>
      <c r="H65" s="11" t="s">
        <v>21</v>
      </c>
      <c r="I65" s="11" t="s">
        <v>50</v>
      </c>
      <c r="J65" s="11" t="s">
        <v>43</v>
      </c>
      <c r="K65" s="11" t="s">
        <v>60</v>
      </c>
      <c r="L65" s="12"/>
      <c r="M65" s="11" t="s">
        <v>167</v>
      </c>
      <c r="N65" s="11" t="s">
        <v>36</v>
      </c>
      <c r="O65" s="10"/>
      <c r="P65" s="10"/>
      <c r="Q65" s="10"/>
    </row>
    <row r="66">
      <c r="A66" s="10"/>
      <c r="B66" s="10"/>
      <c r="C66" s="11" t="s">
        <v>168</v>
      </c>
      <c r="D66" s="11">
        <v>24.0</v>
      </c>
      <c r="E66" s="12"/>
      <c r="F66" s="11" t="s">
        <v>169</v>
      </c>
      <c r="G66" s="11" t="s">
        <v>28</v>
      </c>
      <c r="H66" s="11" t="s">
        <v>21</v>
      </c>
      <c r="I66" s="11" t="s">
        <v>22</v>
      </c>
      <c r="J66" s="11" t="s">
        <v>43</v>
      </c>
      <c r="K66" s="11" t="s">
        <v>60</v>
      </c>
      <c r="L66" s="12"/>
      <c r="M66" s="11" t="s">
        <v>170</v>
      </c>
      <c r="N66" s="11" t="s">
        <v>36</v>
      </c>
      <c r="O66" s="10"/>
      <c r="P66" s="10"/>
      <c r="Q66" s="10"/>
    </row>
    <row r="67">
      <c r="A67" s="10"/>
      <c r="B67" s="10"/>
      <c r="C67" s="11" t="s">
        <v>171</v>
      </c>
      <c r="D67" s="11">
        <v>23.0</v>
      </c>
      <c r="E67" s="12"/>
      <c r="F67" s="11" t="s">
        <v>143</v>
      </c>
      <c r="G67" s="11" t="s">
        <v>28</v>
      </c>
      <c r="H67" s="11" t="s">
        <v>21</v>
      </c>
      <c r="I67" s="11" t="s">
        <v>22</v>
      </c>
      <c r="J67" s="11" t="s">
        <v>43</v>
      </c>
      <c r="K67" s="11" t="s">
        <v>108</v>
      </c>
      <c r="L67" s="12"/>
      <c r="M67" s="11" t="s">
        <v>172</v>
      </c>
      <c r="N67" s="11" t="s">
        <v>36</v>
      </c>
      <c r="O67" s="10"/>
      <c r="P67" s="10"/>
      <c r="Q67" s="10"/>
    </row>
    <row r="68">
      <c r="A68" s="10"/>
      <c r="B68" s="10"/>
      <c r="C68" s="11" t="s">
        <v>173</v>
      </c>
      <c r="D68" s="11">
        <v>23.0</v>
      </c>
      <c r="E68" s="12"/>
      <c r="F68" s="11" t="s">
        <v>169</v>
      </c>
      <c r="G68" s="11" t="s">
        <v>28</v>
      </c>
      <c r="H68" s="11" t="s">
        <v>21</v>
      </c>
      <c r="I68" s="11" t="s">
        <v>52</v>
      </c>
      <c r="J68" s="11" t="s">
        <v>43</v>
      </c>
      <c r="K68" s="11" t="s">
        <v>60</v>
      </c>
      <c r="L68" s="12"/>
      <c r="M68" s="11" t="s">
        <v>172</v>
      </c>
      <c r="N68" s="11" t="s">
        <v>36</v>
      </c>
      <c r="O68" s="10"/>
      <c r="P68" s="10"/>
      <c r="Q68" s="10"/>
    </row>
    <row r="69">
      <c r="A69" s="10"/>
      <c r="B69" s="10"/>
      <c r="C69" s="11" t="s">
        <v>174</v>
      </c>
      <c r="D69" s="11">
        <v>45.0</v>
      </c>
      <c r="E69" s="12"/>
      <c r="F69" s="11" t="s">
        <v>175</v>
      </c>
      <c r="G69" s="11" t="s">
        <v>28</v>
      </c>
      <c r="H69" s="11" t="s">
        <v>21</v>
      </c>
      <c r="I69" s="11" t="s">
        <v>25</v>
      </c>
      <c r="J69" s="11" t="s">
        <v>26</v>
      </c>
      <c r="K69" s="11" t="s">
        <v>60</v>
      </c>
      <c r="L69" s="12"/>
      <c r="M69" s="11" t="s">
        <v>176</v>
      </c>
      <c r="N69" s="11" t="s">
        <v>36</v>
      </c>
      <c r="O69" s="10"/>
      <c r="P69" s="10"/>
      <c r="Q69" s="10"/>
    </row>
    <row r="70">
      <c r="A70" s="10"/>
      <c r="B70" s="10"/>
      <c r="C70" s="11" t="s">
        <v>177</v>
      </c>
      <c r="D70" s="11">
        <v>28.0</v>
      </c>
      <c r="E70" s="12"/>
      <c r="F70" s="11" t="s">
        <v>169</v>
      </c>
      <c r="G70" s="11" t="s">
        <v>28</v>
      </c>
      <c r="H70" s="11" t="s">
        <v>39</v>
      </c>
      <c r="I70" s="11" t="s">
        <v>47</v>
      </c>
      <c r="J70" s="11" t="s">
        <v>43</v>
      </c>
      <c r="K70" s="11" t="s">
        <v>60</v>
      </c>
      <c r="L70" s="12"/>
      <c r="M70" s="11" t="s">
        <v>172</v>
      </c>
      <c r="N70" s="11" t="s">
        <v>36</v>
      </c>
      <c r="O70" s="10"/>
      <c r="P70" s="10"/>
      <c r="Q70" s="10"/>
    </row>
    <row r="71">
      <c r="A71" s="10"/>
      <c r="B71" s="10"/>
      <c r="C71" s="11" t="s">
        <v>178</v>
      </c>
      <c r="D71" s="11">
        <v>29.0</v>
      </c>
      <c r="E71" s="12"/>
      <c r="F71" s="11" t="s">
        <v>169</v>
      </c>
      <c r="G71" s="11" t="s">
        <v>20</v>
      </c>
      <c r="H71" s="11" t="s">
        <v>39</v>
      </c>
      <c r="I71" s="11" t="s">
        <v>47</v>
      </c>
      <c r="J71" s="11" t="s">
        <v>43</v>
      </c>
      <c r="K71" s="11" t="s">
        <v>29</v>
      </c>
      <c r="L71" s="12"/>
      <c r="M71" s="11" t="s">
        <v>172</v>
      </c>
      <c r="N71" s="11" t="s">
        <v>36</v>
      </c>
      <c r="O71" s="10"/>
      <c r="P71" s="10"/>
      <c r="Q71" s="10"/>
    </row>
    <row r="72">
      <c r="A72" s="32"/>
      <c r="B72" s="32"/>
      <c r="C72" s="11" t="s">
        <v>179</v>
      </c>
      <c r="D72" s="11">
        <v>26.0</v>
      </c>
      <c r="E72" s="12"/>
      <c r="F72" s="11" t="s">
        <v>169</v>
      </c>
      <c r="G72" s="11" t="s">
        <v>20</v>
      </c>
      <c r="H72" s="11" t="s">
        <v>39</v>
      </c>
      <c r="I72" s="11" t="s">
        <v>40</v>
      </c>
      <c r="J72" s="11" t="s">
        <v>43</v>
      </c>
      <c r="K72" s="11" t="s">
        <v>29</v>
      </c>
      <c r="L72" s="12"/>
      <c r="M72" s="11" t="s">
        <v>172</v>
      </c>
      <c r="N72" s="11" t="s">
        <v>36</v>
      </c>
      <c r="O72" s="32"/>
      <c r="P72" s="32"/>
      <c r="Q72" s="32"/>
    </row>
    <row r="73">
      <c r="A73" s="33" t="s">
        <v>180</v>
      </c>
      <c r="B73" s="33">
        <v>9.700600726E9</v>
      </c>
      <c r="C73" s="11" t="s">
        <v>180</v>
      </c>
      <c r="D73" s="11">
        <v>44.0</v>
      </c>
      <c r="E73" s="11" t="s">
        <v>181</v>
      </c>
      <c r="F73" s="12"/>
      <c r="G73" s="11" t="s">
        <v>20</v>
      </c>
      <c r="H73" s="11" t="s">
        <v>21</v>
      </c>
      <c r="I73" s="11" t="s">
        <v>50</v>
      </c>
      <c r="J73" s="12"/>
      <c r="K73" s="12"/>
      <c r="L73" s="12"/>
      <c r="M73" s="12"/>
      <c r="N73" s="11" t="s">
        <v>36</v>
      </c>
      <c r="O73" s="34"/>
      <c r="P73" s="35">
        <v>46148.5793287037</v>
      </c>
      <c r="Q73" s="36" t="str">
        <f>HYPERLINK("https://drive.google.com/drive/folders/1NRkW403srw7mdwcbdtv-XkRCOsVxngbj", "Payment Link")</f>
        <v>Payment Link</v>
      </c>
    </row>
    <row r="74">
      <c r="A74" s="10"/>
      <c r="B74" s="10"/>
      <c r="C74" s="11" t="s">
        <v>182</v>
      </c>
      <c r="D74" s="11">
        <v>48.0</v>
      </c>
      <c r="E74" s="12"/>
      <c r="F74" s="11" t="s">
        <v>75</v>
      </c>
      <c r="G74" s="11" t="s">
        <v>28</v>
      </c>
      <c r="H74" s="11" t="s">
        <v>21</v>
      </c>
      <c r="I74" s="11" t="s">
        <v>52</v>
      </c>
      <c r="J74" s="11" t="s">
        <v>43</v>
      </c>
      <c r="K74" s="11" t="s">
        <v>60</v>
      </c>
      <c r="L74" s="12"/>
      <c r="M74" s="11" t="s">
        <v>183</v>
      </c>
      <c r="N74" s="11" t="s">
        <v>36</v>
      </c>
      <c r="O74" s="10"/>
      <c r="P74" s="10"/>
      <c r="Q74" s="10"/>
    </row>
    <row r="75">
      <c r="A75" s="10"/>
      <c r="B75" s="10"/>
      <c r="C75" s="11" t="s">
        <v>184</v>
      </c>
      <c r="D75" s="11">
        <v>12.0</v>
      </c>
      <c r="E75" s="12"/>
      <c r="F75" s="11" t="s">
        <v>185</v>
      </c>
      <c r="G75" s="11" t="s">
        <v>20</v>
      </c>
      <c r="H75" s="11" t="s">
        <v>21</v>
      </c>
      <c r="I75" s="11" t="s">
        <v>52</v>
      </c>
      <c r="J75" s="11" t="s">
        <v>43</v>
      </c>
      <c r="K75" s="11" t="s">
        <v>60</v>
      </c>
      <c r="L75" s="12"/>
      <c r="M75" s="11" t="s">
        <v>186</v>
      </c>
      <c r="N75" s="11" t="s">
        <v>36</v>
      </c>
      <c r="O75" s="10"/>
      <c r="P75" s="10"/>
      <c r="Q75" s="10"/>
    </row>
    <row r="76">
      <c r="A76" s="32"/>
      <c r="B76" s="32"/>
      <c r="C76" s="11" t="s">
        <v>187</v>
      </c>
      <c r="D76" s="11">
        <v>10.0</v>
      </c>
      <c r="E76" s="12"/>
      <c r="F76" s="11" t="s">
        <v>185</v>
      </c>
      <c r="G76" s="11" t="s">
        <v>20</v>
      </c>
      <c r="H76" s="11" t="s">
        <v>21</v>
      </c>
      <c r="I76" s="11" t="s">
        <v>52</v>
      </c>
      <c r="J76" s="11" t="s">
        <v>43</v>
      </c>
      <c r="K76" s="11" t="s">
        <v>29</v>
      </c>
      <c r="L76" s="12"/>
      <c r="M76" s="11" t="s">
        <v>188</v>
      </c>
      <c r="N76" s="11" t="s">
        <v>36</v>
      </c>
      <c r="O76" s="32"/>
      <c r="P76" s="32"/>
      <c r="Q76" s="32"/>
    </row>
    <row r="77">
      <c r="A77" s="37" t="s">
        <v>189</v>
      </c>
      <c r="B77" s="37">
        <v>8.897054161E9</v>
      </c>
      <c r="C77" s="11" t="s">
        <v>189</v>
      </c>
      <c r="D77" s="11">
        <v>26.0</v>
      </c>
      <c r="E77" s="11" t="s">
        <v>190</v>
      </c>
      <c r="F77" s="12"/>
      <c r="G77" s="11" t="s">
        <v>28</v>
      </c>
      <c r="H77" s="11" t="s">
        <v>21</v>
      </c>
      <c r="I77" s="11" t="s">
        <v>22</v>
      </c>
      <c r="J77" s="12"/>
      <c r="K77" s="12"/>
      <c r="L77" s="12"/>
      <c r="M77" s="12"/>
      <c r="N77" s="11" t="s">
        <v>36</v>
      </c>
      <c r="O77" s="38"/>
      <c r="P77" s="39">
        <v>46148.69724537037</v>
      </c>
      <c r="Q77" s="40" t="str">
        <f>HYPERLINK("https://drive.google.com/file/d/1vitGVDqBAGUurtbNKFYrJCLw9rbpOjsL/view?usp=drivesdk", "Payment Link")</f>
        <v>Payment Link</v>
      </c>
    </row>
    <row r="78">
      <c r="A78" s="37" t="s">
        <v>191</v>
      </c>
      <c r="B78" s="37">
        <v>9.198631553E9</v>
      </c>
      <c r="C78" s="11" t="s">
        <v>191</v>
      </c>
      <c r="D78" s="11">
        <v>28.0</v>
      </c>
      <c r="E78" s="11" t="s">
        <v>192</v>
      </c>
      <c r="F78" s="12"/>
      <c r="G78" s="11" t="s">
        <v>20</v>
      </c>
      <c r="H78" s="11" t="s">
        <v>21</v>
      </c>
      <c r="I78" s="11" t="s">
        <v>47</v>
      </c>
      <c r="J78" s="12"/>
      <c r="K78" s="12"/>
      <c r="L78" s="12"/>
      <c r="M78" s="12"/>
      <c r="N78" s="11" t="s">
        <v>36</v>
      </c>
      <c r="O78" s="38"/>
      <c r="P78" s="39">
        <v>46148.78107638889</v>
      </c>
      <c r="Q78" s="40" t="str">
        <f>HYPERLINK("https://drive.google.com/file/d/1u-gOkn78wkeTvs927HBu7METSbCyC6i2/view?usp=drivesdk", "Payment Link")</f>
        <v>Payment Link</v>
      </c>
    </row>
    <row r="79">
      <c r="A79" s="33" t="s">
        <v>193</v>
      </c>
      <c r="B79" s="33">
        <v>7.675098809E9</v>
      </c>
      <c r="C79" s="11" t="s">
        <v>193</v>
      </c>
      <c r="D79" s="11">
        <v>27.0</v>
      </c>
      <c r="E79" s="11" t="s">
        <v>194</v>
      </c>
      <c r="F79" s="12"/>
      <c r="G79" s="11" t="s">
        <v>28</v>
      </c>
      <c r="H79" s="11" t="s">
        <v>21</v>
      </c>
      <c r="I79" s="11" t="s">
        <v>22</v>
      </c>
      <c r="J79" s="12"/>
      <c r="K79" s="12"/>
      <c r="L79" s="12"/>
      <c r="M79" s="12"/>
      <c r="N79" s="11" t="s">
        <v>23</v>
      </c>
      <c r="O79" s="34"/>
      <c r="P79" s="35">
        <v>46148.926041666666</v>
      </c>
      <c r="Q79" s="36" t="str">
        <f>HYPERLINK("https://drive.google.com/file/d/1WrhgbndYgPAevGM2zLkmnp1DpX82xryR/view?usp=drivesdk", "Payment Link")</f>
        <v>Payment Link</v>
      </c>
    </row>
    <row r="80">
      <c r="A80" s="32"/>
      <c r="B80" s="32"/>
      <c r="C80" s="11" t="s">
        <v>195</v>
      </c>
      <c r="D80" s="11">
        <v>30.0</v>
      </c>
      <c r="E80" s="12"/>
      <c r="F80" s="11" t="s">
        <v>75</v>
      </c>
      <c r="G80" s="11" t="s">
        <v>20</v>
      </c>
      <c r="H80" s="11" t="s">
        <v>21</v>
      </c>
      <c r="I80" s="11" t="s">
        <v>22</v>
      </c>
      <c r="J80" s="11" t="s">
        <v>43</v>
      </c>
      <c r="K80" s="11">
        <v>16.0</v>
      </c>
      <c r="L80" s="12"/>
      <c r="M80" s="11" t="s">
        <v>196</v>
      </c>
      <c r="N80" s="11" t="s">
        <v>23</v>
      </c>
      <c r="O80" s="32"/>
      <c r="P80" s="32"/>
      <c r="Q80" s="32"/>
    </row>
    <row r="81">
      <c r="A81" s="33" t="s">
        <v>197</v>
      </c>
      <c r="B81" s="33">
        <v>9.923369579E9</v>
      </c>
      <c r="C81" s="11" t="s">
        <v>197</v>
      </c>
      <c r="D81" s="11">
        <v>29.0</v>
      </c>
      <c r="E81" s="11" t="s">
        <v>198</v>
      </c>
      <c r="F81" s="12"/>
      <c r="G81" s="11" t="s">
        <v>20</v>
      </c>
      <c r="H81" s="11" t="s">
        <v>39</v>
      </c>
      <c r="I81" s="11" t="s">
        <v>47</v>
      </c>
      <c r="J81" s="12"/>
      <c r="K81" s="12"/>
      <c r="L81" s="12"/>
      <c r="M81" s="12"/>
      <c r="N81" s="11" t="s">
        <v>23</v>
      </c>
      <c r="O81" s="34"/>
      <c r="P81" s="35">
        <v>46149.30550925926</v>
      </c>
      <c r="Q81" s="36" t="str">
        <f>HYPERLINK("https://drive.google.com/file/d/1U1U3ieNHEj7z2c7smtbGg4_qhY5UPjR6/view?usp=drivesdk", "Payment Link")</f>
        <v>Payment Link</v>
      </c>
    </row>
    <row r="82">
      <c r="A82" s="10"/>
      <c r="B82" s="10"/>
      <c r="C82" s="11" t="s">
        <v>199</v>
      </c>
      <c r="D82" s="11">
        <v>56.0</v>
      </c>
      <c r="E82" s="12"/>
      <c r="F82" s="11" t="s">
        <v>80</v>
      </c>
      <c r="G82" s="11" t="s">
        <v>28</v>
      </c>
      <c r="H82" s="11" t="s">
        <v>39</v>
      </c>
      <c r="I82" s="11" t="s">
        <v>47</v>
      </c>
      <c r="J82" s="11" t="s">
        <v>26</v>
      </c>
      <c r="K82" s="11" t="s">
        <v>108</v>
      </c>
      <c r="L82" s="12"/>
      <c r="M82" s="11" t="s">
        <v>140</v>
      </c>
      <c r="N82" s="11" t="s">
        <v>23</v>
      </c>
      <c r="O82" s="10"/>
      <c r="P82" s="10"/>
      <c r="Q82" s="10"/>
    </row>
    <row r="83">
      <c r="A83" s="32"/>
      <c r="B83" s="32"/>
      <c r="C83" s="11" t="s">
        <v>200</v>
      </c>
      <c r="D83" s="11">
        <v>59.0</v>
      </c>
      <c r="E83" s="12"/>
      <c r="F83" s="11" t="s">
        <v>201</v>
      </c>
      <c r="G83" s="11" t="s">
        <v>20</v>
      </c>
      <c r="H83" s="11" t="s">
        <v>46</v>
      </c>
      <c r="I83" s="11" t="s">
        <v>47</v>
      </c>
      <c r="J83" s="11" t="s">
        <v>26</v>
      </c>
      <c r="K83" s="11">
        <v>0.0</v>
      </c>
      <c r="L83" s="12"/>
      <c r="M83" s="11" t="s">
        <v>202</v>
      </c>
      <c r="N83" s="11" t="s">
        <v>23</v>
      </c>
      <c r="O83" s="32"/>
      <c r="P83" s="32"/>
      <c r="Q83" s="32"/>
    </row>
    <row r="84">
      <c r="A84" s="33" t="s">
        <v>203</v>
      </c>
      <c r="B84" s="33">
        <v>9.566121217E9</v>
      </c>
      <c r="C84" s="11" t="s">
        <v>203</v>
      </c>
      <c r="D84" s="11">
        <v>30.0</v>
      </c>
      <c r="E84" s="11" t="s">
        <v>204</v>
      </c>
      <c r="F84" s="12"/>
      <c r="G84" s="11" t="s">
        <v>20</v>
      </c>
      <c r="H84" s="11" t="s">
        <v>39</v>
      </c>
      <c r="I84" s="11" t="s">
        <v>22</v>
      </c>
      <c r="J84" s="12"/>
      <c r="K84" s="12"/>
      <c r="L84" s="12"/>
      <c r="M84" s="12"/>
      <c r="N84" s="11" t="s">
        <v>23</v>
      </c>
      <c r="O84" s="34"/>
      <c r="P84" s="35">
        <v>46149.365949074076</v>
      </c>
      <c r="Q84" s="36" t="str">
        <f>HYPERLINK("https://drive.google.com/file/d/1tFjYnss6QzH4ztUXGW7XH_NJgS-W9BLA/view?usp=drivesdk", "Payment Link")</f>
        <v>Payment Link</v>
      </c>
    </row>
    <row r="85">
      <c r="A85" s="32"/>
      <c r="B85" s="32"/>
      <c r="C85" s="11" t="s">
        <v>205</v>
      </c>
      <c r="D85" s="11">
        <v>30.0</v>
      </c>
      <c r="E85" s="12"/>
      <c r="F85" s="11" t="s">
        <v>42</v>
      </c>
      <c r="G85" s="11" t="s">
        <v>28</v>
      </c>
      <c r="H85" s="11" t="s">
        <v>21</v>
      </c>
      <c r="I85" s="11" t="s">
        <v>47</v>
      </c>
      <c r="J85" s="11" t="s">
        <v>43</v>
      </c>
      <c r="K85" s="11">
        <v>16.0</v>
      </c>
      <c r="L85" s="12"/>
      <c r="M85" s="12"/>
      <c r="N85" s="11" t="s">
        <v>23</v>
      </c>
      <c r="O85" s="32"/>
      <c r="P85" s="32"/>
      <c r="Q85" s="32"/>
    </row>
    <row r="86">
      <c r="A86" s="37" t="s">
        <v>158</v>
      </c>
      <c r="B86" s="37">
        <v>9.493239649E9</v>
      </c>
      <c r="C86" s="11" t="s">
        <v>206</v>
      </c>
      <c r="D86" s="11">
        <v>44.0</v>
      </c>
      <c r="E86" s="12"/>
      <c r="F86" s="11" t="s">
        <v>207</v>
      </c>
      <c r="G86" s="11" t="s">
        <v>28</v>
      </c>
      <c r="H86" s="11" t="s">
        <v>21</v>
      </c>
      <c r="I86" s="11" t="s">
        <v>52</v>
      </c>
      <c r="J86" s="11" t="s">
        <v>26</v>
      </c>
      <c r="K86" s="11" t="s">
        <v>29</v>
      </c>
      <c r="L86" s="12"/>
      <c r="M86" s="11" t="s">
        <v>140</v>
      </c>
      <c r="N86" s="11" t="s">
        <v>23</v>
      </c>
      <c r="O86" s="45" t="s">
        <v>208</v>
      </c>
      <c r="P86" s="39">
        <v>46150.93178240741</v>
      </c>
      <c r="Q86" s="40" t="str">
        <f>HYPERLINK("https://drive.google.com/file/d/1C0DspZOkk7Dbrpf3hJa3mkYX0iG_OfAN/view?usp=drivesdk", "Payment Link")</f>
        <v>Payment Link</v>
      </c>
    </row>
    <row r="87">
      <c r="A87" s="33" t="s">
        <v>88</v>
      </c>
      <c r="B87" s="33">
        <v>9.67716357E9</v>
      </c>
      <c r="C87" s="11" t="s">
        <v>209</v>
      </c>
      <c r="D87" s="11">
        <v>64.0</v>
      </c>
      <c r="E87" s="12"/>
      <c r="F87" s="11" t="s">
        <v>68</v>
      </c>
      <c r="G87" s="11" t="s">
        <v>20</v>
      </c>
      <c r="H87" s="11" t="s">
        <v>46</v>
      </c>
      <c r="I87" s="11" t="s">
        <v>52</v>
      </c>
      <c r="J87" s="11" t="s">
        <v>26</v>
      </c>
      <c r="K87" s="11" t="s">
        <v>29</v>
      </c>
      <c r="L87" s="12"/>
      <c r="M87" s="11" t="s">
        <v>210</v>
      </c>
      <c r="N87" s="11" t="s">
        <v>23</v>
      </c>
      <c r="O87" s="34"/>
      <c r="P87" s="35">
        <v>46151.559849537036</v>
      </c>
      <c r="Q87" s="36" t="str">
        <f>HYPERLINK("https://drive.google.com/file/d/11cDYyqzsR19OW1csbNXoRg4R4PrjBlyA/view?usp=drivesdk", "Payment Link")</f>
        <v>Payment Link</v>
      </c>
    </row>
    <row r="88">
      <c r="A88" s="32"/>
      <c r="B88" s="32"/>
      <c r="C88" s="11" t="s">
        <v>211</v>
      </c>
      <c r="D88" s="11">
        <v>60.0</v>
      </c>
      <c r="E88" s="12"/>
      <c r="F88" s="11" t="s">
        <v>45</v>
      </c>
      <c r="G88" s="11" t="s">
        <v>28</v>
      </c>
      <c r="H88" s="11" t="s">
        <v>46</v>
      </c>
      <c r="I88" s="11" t="s">
        <v>52</v>
      </c>
      <c r="J88" s="11" t="s">
        <v>26</v>
      </c>
      <c r="K88" s="11" t="s">
        <v>29</v>
      </c>
      <c r="L88" s="12"/>
      <c r="M88" s="12"/>
      <c r="N88" s="11" t="s">
        <v>23</v>
      </c>
      <c r="O88" s="32"/>
      <c r="P88" s="32"/>
      <c r="Q88" s="32"/>
    </row>
    <row r="89">
      <c r="A89" s="46" t="s">
        <v>212</v>
      </c>
      <c r="B89" s="46">
        <v>7.386139033E9</v>
      </c>
      <c r="C89" s="47" t="s">
        <v>212</v>
      </c>
      <c r="D89" s="47">
        <v>32.0</v>
      </c>
      <c r="E89" s="47" t="s">
        <v>213</v>
      </c>
      <c r="F89" s="48"/>
      <c r="G89" s="47" t="s">
        <v>20</v>
      </c>
      <c r="H89" s="47" t="s">
        <v>21</v>
      </c>
      <c r="I89" s="47" t="s">
        <v>50</v>
      </c>
      <c r="J89" s="48"/>
      <c r="K89" s="48"/>
      <c r="L89" s="48"/>
      <c r="M89" s="48"/>
      <c r="N89" s="47" t="s">
        <v>23</v>
      </c>
      <c r="O89" s="49"/>
      <c r="P89" s="50">
        <v>46152.67228009259</v>
      </c>
      <c r="Q89" s="51" t="str">
        <f>HYPERLINK("https://drive.google.com/file/d/1qw1TyG1E1VX00C94rUY6MKY2EKDTJaCv/view?usp=drivesdk", "Payment Link")</f>
        <v>Payment Link</v>
      </c>
    </row>
    <row r="90">
      <c r="A90" s="32"/>
      <c r="B90" s="32"/>
      <c r="C90" s="47" t="s">
        <v>214</v>
      </c>
      <c r="D90" s="47">
        <v>32.0</v>
      </c>
      <c r="E90" s="48"/>
      <c r="F90" s="47" t="s">
        <v>75</v>
      </c>
      <c r="G90" s="47" t="s">
        <v>20</v>
      </c>
      <c r="H90" s="47" t="s">
        <v>21</v>
      </c>
      <c r="I90" s="47" t="s">
        <v>22</v>
      </c>
      <c r="J90" s="47" t="s">
        <v>26</v>
      </c>
      <c r="K90" s="47" t="s">
        <v>29</v>
      </c>
      <c r="L90" s="48"/>
      <c r="M90" s="48"/>
      <c r="N90" s="47" t="s">
        <v>23</v>
      </c>
      <c r="O90" s="32"/>
      <c r="P90" s="32"/>
      <c r="Q90" s="32"/>
    </row>
    <row r="91">
      <c r="A91" s="52" t="s">
        <v>215</v>
      </c>
      <c r="B91" s="52">
        <v>9.912206523E9</v>
      </c>
      <c r="C91" s="47" t="s">
        <v>215</v>
      </c>
      <c r="D91" s="47">
        <v>26.0</v>
      </c>
      <c r="E91" s="47" t="s">
        <v>216</v>
      </c>
      <c r="F91" s="48"/>
      <c r="G91" s="47" t="s">
        <v>28</v>
      </c>
      <c r="H91" s="47" t="s">
        <v>21</v>
      </c>
      <c r="I91" s="47" t="s">
        <v>93</v>
      </c>
      <c r="J91" s="48"/>
      <c r="K91" s="48"/>
      <c r="L91" s="48"/>
      <c r="M91" s="48"/>
      <c r="N91" s="47" t="s">
        <v>36</v>
      </c>
      <c r="O91" s="48"/>
      <c r="P91" s="53">
        <v>46152.72939814815</v>
      </c>
      <c r="Q91" s="54" t="str">
        <f>HYPERLINK("https://drive.google.com/file/d/1Y8RGr20zomLJ_25dNnT5mGL31FfK8c6f/view?usp=drivesdk", "Payment Link")</f>
        <v>Payment Link</v>
      </c>
    </row>
    <row r="92">
      <c r="A92" s="52" t="s">
        <v>215</v>
      </c>
      <c r="B92" s="52">
        <v>9.912206523E9</v>
      </c>
      <c r="C92" s="47" t="s">
        <v>217</v>
      </c>
      <c r="D92" s="47">
        <v>14.0</v>
      </c>
      <c r="E92" s="48"/>
      <c r="F92" s="47" t="s">
        <v>218</v>
      </c>
      <c r="G92" s="47" t="s">
        <v>28</v>
      </c>
      <c r="H92" s="47" t="s">
        <v>21</v>
      </c>
      <c r="I92" s="47" t="s">
        <v>93</v>
      </c>
      <c r="J92" s="47" t="s">
        <v>43</v>
      </c>
      <c r="K92" s="47" t="s">
        <v>29</v>
      </c>
      <c r="L92" s="48"/>
      <c r="M92" s="47" t="s">
        <v>219</v>
      </c>
      <c r="N92" s="47" t="s">
        <v>36</v>
      </c>
      <c r="O92" s="48"/>
      <c r="P92" s="53">
        <v>46152.996296296296</v>
      </c>
      <c r="Q92" s="54" t="str">
        <f>HYPERLINK("https://drive.google.com/file/d/1_RVFXfH2oYi5qxC3TQ6rRktsXYxvqsXn/view?usp=drivesdk", "Payment Link")</f>
        <v>Payment Link</v>
      </c>
    </row>
    <row r="93">
      <c r="A93" s="46" t="s">
        <v>88</v>
      </c>
      <c r="B93" s="46">
        <v>9.67716357E9</v>
      </c>
      <c r="C93" s="47" t="s">
        <v>220</v>
      </c>
      <c r="D93" s="47">
        <v>48.0</v>
      </c>
      <c r="E93" s="48"/>
      <c r="F93" s="47" t="s">
        <v>221</v>
      </c>
      <c r="G93" s="47" t="s">
        <v>28</v>
      </c>
      <c r="H93" s="47" t="s">
        <v>46</v>
      </c>
      <c r="I93" s="47" t="s">
        <v>25</v>
      </c>
      <c r="J93" s="47" t="s">
        <v>26</v>
      </c>
      <c r="K93" s="47" t="s">
        <v>29</v>
      </c>
      <c r="L93" s="48"/>
      <c r="M93" s="47" t="s">
        <v>222</v>
      </c>
      <c r="N93" s="47" t="s">
        <v>23</v>
      </c>
      <c r="O93" s="49"/>
      <c r="P93" s="50">
        <v>46157.47399305556</v>
      </c>
      <c r="Q93" s="51" t="str">
        <f>HYPERLINK("https://drive.google.com/file/d/1YOzUWSFOtYmp23W3hSZvu12OYEhGYaHH/view?usp=drivesdk", "Payment Link")</f>
        <v>Payment Link</v>
      </c>
    </row>
    <row r="94">
      <c r="A94" s="10"/>
      <c r="B94" s="10"/>
      <c r="C94" s="47" t="s">
        <v>223</v>
      </c>
      <c r="D94" s="47">
        <v>68.0</v>
      </c>
      <c r="E94" s="48"/>
      <c r="F94" s="47" t="s">
        <v>224</v>
      </c>
      <c r="G94" s="47" t="s">
        <v>28</v>
      </c>
      <c r="H94" s="47" t="s">
        <v>21</v>
      </c>
      <c r="I94" s="47" t="s">
        <v>225</v>
      </c>
      <c r="J94" s="47" t="s">
        <v>26</v>
      </c>
      <c r="K94" s="47" t="s">
        <v>60</v>
      </c>
      <c r="L94" s="48"/>
      <c r="M94" s="47" t="s">
        <v>226</v>
      </c>
      <c r="N94" s="47" t="s">
        <v>23</v>
      </c>
      <c r="O94" s="10"/>
      <c r="P94" s="10"/>
      <c r="Q94" s="10"/>
    </row>
    <row r="95">
      <c r="A95" s="10"/>
      <c r="B95" s="10"/>
      <c r="C95" s="47" t="s">
        <v>227</v>
      </c>
      <c r="D95" s="47">
        <v>44.0</v>
      </c>
      <c r="E95" s="48"/>
      <c r="F95" s="47" t="s">
        <v>143</v>
      </c>
      <c r="G95" s="47" t="s">
        <v>28</v>
      </c>
      <c r="H95" s="47" t="s">
        <v>21</v>
      </c>
      <c r="I95" s="47" t="s">
        <v>25</v>
      </c>
      <c r="J95" s="47" t="s">
        <v>26</v>
      </c>
      <c r="K95" s="47">
        <v>0.0</v>
      </c>
      <c r="L95" s="48"/>
      <c r="M95" s="47" t="s">
        <v>228</v>
      </c>
      <c r="N95" s="47" t="s">
        <v>36</v>
      </c>
      <c r="O95" s="10"/>
      <c r="P95" s="10"/>
      <c r="Q95" s="10"/>
    </row>
    <row r="96">
      <c r="A96" s="10"/>
      <c r="B96" s="10"/>
      <c r="C96" s="47" t="s">
        <v>229</v>
      </c>
      <c r="D96" s="47">
        <v>24.0</v>
      </c>
      <c r="E96" s="48"/>
      <c r="F96" s="47" t="s">
        <v>143</v>
      </c>
      <c r="G96" s="47" t="s">
        <v>28</v>
      </c>
      <c r="H96" s="47" t="s">
        <v>21</v>
      </c>
      <c r="I96" s="47" t="s">
        <v>52</v>
      </c>
      <c r="J96" s="47" t="s">
        <v>43</v>
      </c>
      <c r="K96" s="47">
        <v>0.0</v>
      </c>
      <c r="L96" s="48"/>
      <c r="M96" s="47" t="s">
        <v>140</v>
      </c>
      <c r="N96" s="47" t="s">
        <v>36</v>
      </c>
      <c r="O96" s="10"/>
      <c r="P96" s="10"/>
      <c r="Q96" s="10"/>
    </row>
    <row r="97">
      <c r="A97" s="10"/>
      <c r="B97" s="10"/>
      <c r="C97" s="47" t="s">
        <v>230</v>
      </c>
      <c r="D97" s="47">
        <v>50.0</v>
      </c>
      <c r="E97" s="48"/>
      <c r="F97" s="47" t="s">
        <v>143</v>
      </c>
      <c r="G97" s="47" t="s">
        <v>28</v>
      </c>
      <c r="H97" s="47" t="s">
        <v>21</v>
      </c>
      <c r="I97" s="47" t="s">
        <v>25</v>
      </c>
      <c r="J97" s="47" t="s">
        <v>26</v>
      </c>
      <c r="K97" s="47">
        <v>0.0</v>
      </c>
      <c r="L97" s="48"/>
      <c r="M97" s="47" t="s">
        <v>231</v>
      </c>
      <c r="N97" s="47" t="s">
        <v>36</v>
      </c>
      <c r="O97" s="10"/>
      <c r="P97" s="10"/>
      <c r="Q97" s="10"/>
    </row>
    <row r="98">
      <c r="A98" s="10"/>
      <c r="B98" s="10"/>
      <c r="C98" s="47" t="s">
        <v>232</v>
      </c>
      <c r="D98" s="47">
        <v>40.0</v>
      </c>
      <c r="E98" s="48"/>
      <c r="F98" s="47" t="s">
        <v>169</v>
      </c>
      <c r="G98" s="47" t="s">
        <v>28</v>
      </c>
      <c r="H98" s="47" t="s">
        <v>21</v>
      </c>
      <c r="I98" s="47" t="s">
        <v>25</v>
      </c>
      <c r="J98" s="47" t="s">
        <v>26</v>
      </c>
      <c r="K98" s="47">
        <v>0.0</v>
      </c>
      <c r="L98" s="48"/>
      <c r="M98" s="47" t="s">
        <v>233</v>
      </c>
      <c r="N98" s="47" t="s">
        <v>36</v>
      </c>
      <c r="O98" s="10"/>
      <c r="P98" s="10"/>
      <c r="Q98" s="10"/>
    </row>
    <row r="99">
      <c r="A99" s="10"/>
      <c r="B99" s="10"/>
      <c r="C99" s="47" t="s">
        <v>234</v>
      </c>
      <c r="D99" s="47">
        <v>43.0</v>
      </c>
      <c r="E99" s="48"/>
      <c r="F99" s="47" t="s">
        <v>169</v>
      </c>
      <c r="G99" s="47" t="s">
        <v>28</v>
      </c>
      <c r="H99" s="47" t="s">
        <v>21</v>
      </c>
      <c r="I99" s="47" t="s">
        <v>25</v>
      </c>
      <c r="J99" s="47" t="s">
        <v>26</v>
      </c>
      <c r="K99" s="47">
        <v>0.0</v>
      </c>
      <c r="L99" s="48"/>
      <c r="M99" s="47" t="s">
        <v>233</v>
      </c>
      <c r="N99" s="47" t="s">
        <v>36</v>
      </c>
      <c r="O99" s="10"/>
      <c r="P99" s="10"/>
      <c r="Q99" s="10"/>
    </row>
    <row r="100">
      <c r="A100" s="10"/>
      <c r="B100" s="10"/>
      <c r="C100" s="47" t="s">
        <v>235</v>
      </c>
      <c r="D100" s="47">
        <v>41.0</v>
      </c>
      <c r="E100" s="48"/>
      <c r="F100" s="47" t="s">
        <v>236</v>
      </c>
      <c r="G100" s="47" t="s">
        <v>28</v>
      </c>
      <c r="H100" s="47" t="s">
        <v>21</v>
      </c>
      <c r="I100" s="47" t="s">
        <v>25</v>
      </c>
      <c r="J100" s="47" t="s">
        <v>26</v>
      </c>
      <c r="K100" s="47" t="s">
        <v>60</v>
      </c>
      <c r="L100" s="48"/>
      <c r="M100" s="47" t="s">
        <v>140</v>
      </c>
      <c r="N100" s="47" t="s">
        <v>36</v>
      </c>
      <c r="O100" s="10"/>
      <c r="P100" s="10"/>
      <c r="Q100" s="10"/>
    </row>
    <row r="101">
      <c r="A101" s="10"/>
      <c r="B101" s="10"/>
      <c r="C101" s="47" t="s">
        <v>237</v>
      </c>
      <c r="D101" s="47">
        <v>18.0</v>
      </c>
      <c r="E101" s="48"/>
      <c r="F101" s="47" t="s">
        <v>121</v>
      </c>
      <c r="G101" s="47" t="s">
        <v>28</v>
      </c>
      <c r="H101" s="47" t="s">
        <v>21</v>
      </c>
      <c r="I101" s="47" t="s">
        <v>50</v>
      </c>
      <c r="J101" s="47" t="s">
        <v>43</v>
      </c>
      <c r="K101" s="47" t="s">
        <v>60</v>
      </c>
      <c r="L101" s="48"/>
      <c r="M101" s="47" t="s">
        <v>238</v>
      </c>
      <c r="N101" s="47" t="s">
        <v>36</v>
      </c>
      <c r="O101" s="10"/>
      <c r="P101" s="10"/>
      <c r="Q101" s="10"/>
    </row>
    <row r="102">
      <c r="A102" s="10"/>
      <c r="B102" s="10"/>
      <c r="C102" s="47" t="s">
        <v>239</v>
      </c>
      <c r="D102" s="47">
        <v>49.0</v>
      </c>
      <c r="E102" s="48"/>
      <c r="F102" s="47" t="s">
        <v>221</v>
      </c>
      <c r="G102" s="47" t="s">
        <v>28</v>
      </c>
      <c r="H102" s="47" t="s">
        <v>21</v>
      </c>
      <c r="I102" s="47" t="s">
        <v>25</v>
      </c>
      <c r="J102" s="47" t="s">
        <v>26</v>
      </c>
      <c r="K102" s="47">
        <v>0.0</v>
      </c>
      <c r="L102" s="48"/>
      <c r="M102" s="47" t="s">
        <v>233</v>
      </c>
      <c r="N102" s="47" t="s">
        <v>36</v>
      </c>
      <c r="O102" s="10"/>
      <c r="P102" s="10"/>
      <c r="Q102" s="10"/>
    </row>
    <row r="103">
      <c r="A103" s="32"/>
      <c r="B103" s="32"/>
      <c r="C103" s="47" t="s">
        <v>240</v>
      </c>
      <c r="D103" s="47">
        <v>55.0</v>
      </c>
      <c r="E103" s="48"/>
      <c r="F103" s="47" t="s">
        <v>241</v>
      </c>
      <c r="G103" s="47" t="s">
        <v>20</v>
      </c>
      <c r="H103" s="47" t="s">
        <v>21</v>
      </c>
      <c r="I103" s="47" t="s">
        <v>242</v>
      </c>
      <c r="J103" s="47" t="s">
        <v>26</v>
      </c>
      <c r="K103" s="47" t="s">
        <v>29</v>
      </c>
      <c r="L103" s="48"/>
      <c r="M103" s="47" t="s">
        <v>243</v>
      </c>
      <c r="N103" s="47" t="s">
        <v>23</v>
      </c>
      <c r="O103" s="32"/>
      <c r="P103" s="32"/>
      <c r="Q103" s="32"/>
    </row>
    <row r="104">
      <c r="A104" s="46" t="s">
        <v>244</v>
      </c>
      <c r="B104" s="46">
        <v>8.977333687E9</v>
      </c>
      <c r="C104" s="47" t="s">
        <v>244</v>
      </c>
      <c r="D104" s="47">
        <v>32.0</v>
      </c>
      <c r="E104" s="47" t="s">
        <v>245</v>
      </c>
      <c r="F104" s="48"/>
      <c r="G104" s="47" t="s">
        <v>20</v>
      </c>
      <c r="H104" s="47" t="s">
        <v>39</v>
      </c>
      <c r="I104" s="47" t="s">
        <v>31</v>
      </c>
      <c r="J104" s="48"/>
      <c r="K104" s="48"/>
      <c r="L104" s="48"/>
      <c r="M104" s="48"/>
      <c r="N104" s="47" t="s">
        <v>36</v>
      </c>
      <c r="O104" s="55" t="s">
        <v>246</v>
      </c>
      <c r="P104" s="50">
        <v>46158.32326388889</v>
      </c>
      <c r="Q104" s="51" t="str">
        <f>HYPERLINK("https://drive.google.com/file/d/1j6LO2tatPwn7noMwB3XpT4auYnuh0FXD/view?usp=drivesdk", "Payment Link")</f>
        <v>Payment Link</v>
      </c>
    </row>
    <row r="105">
      <c r="A105" s="10"/>
      <c r="B105" s="10"/>
      <c r="C105" s="47" t="s">
        <v>247</v>
      </c>
      <c r="D105" s="47">
        <v>27.0</v>
      </c>
      <c r="E105" s="48"/>
      <c r="F105" s="47" t="s">
        <v>248</v>
      </c>
      <c r="G105" s="47" t="s">
        <v>28</v>
      </c>
      <c r="H105" s="47" t="s">
        <v>39</v>
      </c>
      <c r="I105" s="47" t="s">
        <v>31</v>
      </c>
      <c r="J105" s="47" t="s">
        <v>43</v>
      </c>
      <c r="K105" s="47">
        <v>16.0</v>
      </c>
      <c r="L105" s="48"/>
      <c r="M105" s="47" t="s">
        <v>249</v>
      </c>
      <c r="N105" s="47" t="s">
        <v>36</v>
      </c>
      <c r="O105" s="10"/>
      <c r="P105" s="10"/>
      <c r="Q105" s="10"/>
    </row>
    <row r="106">
      <c r="A106" s="10"/>
      <c r="B106" s="10"/>
      <c r="C106" s="47" t="s">
        <v>250</v>
      </c>
      <c r="D106" s="47">
        <v>50.0</v>
      </c>
      <c r="E106" s="48"/>
      <c r="F106" s="47" t="s">
        <v>251</v>
      </c>
      <c r="G106" s="47" t="s">
        <v>28</v>
      </c>
      <c r="H106" s="47" t="s">
        <v>21</v>
      </c>
      <c r="I106" s="47" t="s">
        <v>25</v>
      </c>
      <c r="J106" s="47" t="s">
        <v>26</v>
      </c>
      <c r="K106" s="47" t="s">
        <v>108</v>
      </c>
      <c r="L106" s="48"/>
      <c r="M106" s="47" t="s">
        <v>252</v>
      </c>
      <c r="N106" s="47" t="s">
        <v>36</v>
      </c>
      <c r="O106" s="10"/>
      <c r="P106" s="10"/>
      <c r="Q106" s="10"/>
    </row>
    <row r="107">
      <c r="A107" s="32"/>
      <c r="B107" s="32"/>
      <c r="C107" s="47" t="s">
        <v>253</v>
      </c>
      <c r="D107" s="47">
        <v>50.0</v>
      </c>
      <c r="E107" s="48"/>
      <c r="F107" s="47" t="s">
        <v>254</v>
      </c>
      <c r="G107" s="47" t="s">
        <v>28</v>
      </c>
      <c r="H107" s="47" t="s">
        <v>21</v>
      </c>
      <c r="I107" s="47" t="s">
        <v>25</v>
      </c>
      <c r="J107" s="47" t="s">
        <v>26</v>
      </c>
      <c r="K107" s="47" t="s">
        <v>29</v>
      </c>
      <c r="L107" s="48"/>
      <c r="M107" s="47" t="s">
        <v>255</v>
      </c>
      <c r="N107" s="47" t="s">
        <v>36</v>
      </c>
      <c r="O107" s="32"/>
      <c r="P107" s="32"/>
      <c r="Q107" s="32"/>
    </row>
    <row r="108">
      <c r="A108" s="46" t="s">
        <v>244</v>
      </c>
      <c r="B108" s="46">
        <v>8.977333687E9</v>
      </c>
      <c r="C108" s="47" t="s">
        <v>247</v>
      </c>
      <c r="D108" s="47">
        <v>27.0</v>
      </c>
      <c r="E108" s="48"/>
      <c r="F108" s="47" t="s">
        <v>248</v>
      </c>
      <c r="G108" s="47" t="s">
        <v>28</v>
      </c>
      <c r="H108" s="47" t="s">
        <v>39</v>
      </c>
      <c r="I108" s="47" t="s">
        <v>31</v>
      </c>
      <c r="J108" s="47" t="s">
        <v>43</v>
      </c>
      <c r="K108" s="47">
        <v>16.0</v>
      </c>
      <c r="L108" s="48"/>
      <c r="M108" s="47" t="s">
        <v>249</v>
      </c>
      <c r="N108" s="47" t="s">
        <v>36</v>
      </c>
      <c r="O108" s="55" t="s">
        <v>246</v>
      </c>
      <c r="P108" s="50">
        <v>46158.32376157407</v>
      </c>
      <c r="Q108" s="51" t="str">
        <f>HYPERLINK("https://drive.google.com/file/d/1FsNQ3ao_ggHTDhaWYyXRTpdSG5yNfbJY/view?usp=drivesdk", "Payment Link")</f>
        <v>Payment Link</v>
      </c>
    </row>
    <row r="109">
      <c r="A109" s="10"/>
      <c r="B109" s="10"/>
      <c r="C109" s="47" t="s">
        <v>250</v>
      </c>
      <c r="D109" s="47">
        <v>50.0</v>
      </c>
      <c r="E109" s="48"/>
      <c r="F109" s="47" t="s">
        <v>251</v>
      </c>
      <c r="G109" s="47" t="s">
        <v>28</v>
      </c>
      <c r="H109" s="47" t="s">
        <v>21</v>
      </c>
      <c r="I109" s="47" t="s">
        <v>25</v>
      </c>
      <c r="J109" s="47" t="s">
        <v>26</v>
      </c>
      <c r="K109" s="47" t="s">
        <v>108</v>
      </c>
      <c r="L109" s="48"/>
      <c r="M109" s="47" t="s">
        <v>252</v>
      </c>
      <c r="N109" s="47" t="s">
        <v>36</v>
      </c>
      <c r="O109" s="10"/>
      <c r="P109" s="10"/>
      <c r="Q109" s="10"/>
    </row>
    <row r="110">
      <c r="A110" s="32"/>
      <c r="B110" s="32"/>
      <c r="C110" s="47" t="s">
        <v>253</v>
      </c>
      <c r="D110" s="47">
        <v>50.0</v>
      </c>
      <c r="E110" s="48"/>
      <c r="F110" s="47" t="s">
        <v>254</v>
      </c>
      <c r="G110" s="47" t="s">
        <v>28</v>
      </c>
      <c r="H110" s="47" t="s">
        <v>21</v>
      </c>
      <c r="I110" s="47" t="s">
        <v>25</v>
      </c>
      <c r="J110" s="47" t="s">
        <v>26</v>
      </c>
      <c r="K110" s="47" t="s">
        <v>29</v>
      </c>
      <c r="L110" s="48"/>
      <c r="M110" s="47" t="s">
        <v>255</v>
      </c>
      <c r="N110" s="47" t="s">
        <v>36</v>
      </c>
      <c r="O110" s="32"/>
      <c r="P110" s="32"/>
      <c r="Q110" s="32"/>
    </row>
    <row r="111">
      <c r="A111" s="46" t="s">
        <v>72</v>
      </c>
      <c r="B111" s="46">
        <v>9.840286639E9</v>
      </c>
      <c r="C111" s="47" t="s">
        <v>256</v>
      </c>
      <c r="D111" s="47">
        <v>58.0</v>
      </c>
      <c r="E111" s="48"/>
      <c r="F111" s="47" t="s">
        <v>241</v>
      </c>
      <c r="G111" s="47" t="s">
        <v>20</v>
      </c>
      <c r="H111" s="47" t="s">
        <v>21</v>
      </c>
      <c r="I111" s="47" t="s">
        <v>52</v>
      </c>
      <c r="J111" s="47" t="s">
        <v>26</v>
      </c>
      <c r="K111" s="47">
        <v>16.0</v>
      </c>
      <c r="L111" s="48"/>
      <c r="M111" s="47" t="s">
        <v>257</v>
      </c>
      <c r="N111" s="47" t="s">
        <v>23</v>
      </c>
      <c r="O111" s="49"/>
      <c r="P111" s="50">
        <v>46158.3296875</v>
      </c>
      <c r="Q111" s="51" t="str">
        <f>HYPERLINK("https://drive.google.com/file/d/1tLMOo_u2iUJgejRc3CHYirKSCurXmSYJ/view?usp=drivesdk", "Payment Link")</f>
        <v>Payment Link</v>
      </c>
    </row>
    <row r="112">
      <c r="A112" s="10"/>
      <c r="B112" s="10"/>
      <c r="C112" s="47" t="s">
        <v>258</v>
      </c>
      <c r="D112" s="47">
        <v>54.0</v>
      </c>
      <c r="E112" s="48"/>
      <c r="F112" s="47" t="s">
        <v>221</v>
      </c>
      <c r="G112" s="47" t="s">
        <v>28</v>
      </c>
      <c r="H112" s="47" t="s">
        <v>21</v>
      </c>
      <c r="I112" s="47" t="s">
        <v>25</v>
      </c>
      <c r="J112" s="47" t="s">
        <v>26</v>
      </c>
      <c r="K112" s="47" t="s">
        <v>60</v>
      </c>
      <c r="L112" s="48"/>
      <c r="M112" s="48"/>
      <c r="N112" s="47" t="s">
        <v>23</v>
      </c>
      <c r="O112" s="10"/>
      <c r="P112" s="10"/>
      <c r="Q112" s="10"/>
    </row>
    <row r="113">
      <c r="A113" s="10"/>
      <c r="B113" s="10"/>
      <c r="C113" s="47" t="s">
        <v>259</v>
      </c>
      <c r="D113" s="47">
        <v>32.0</v>
      </c>
      <c r="E113" s="48"/>
      <c r="F113" s="47" t="s">
        <v>260</v>
      </c>
      <c r="G113" s="47" t="s">
        <v>20</v>
      </c>
      <c r="H113" s="47" t="s">
        <v>21</v>
      </c>
      <c r="I113" s="47" t="s">
        <v>52</v>
      </c>
      <c r="J113" s="47" t="s">
        <v>43</v>
      </c>
      <c r="K113" s="47">
        <v>0.0</v>
      </c>
      <c r="L113" s="48"/>
      <c r="M113" s="47" t="s">
        <v>261</v>
      </c>
      <c r="N113" s="47" t="s">
        <v>23</v>
      </c>
      <c r="O113" s="10"/>
      <c r="P113" s="10"/>
      <c r="Q113" s="10"/>
    </row>
    <row r="114">
      <c r="A114" s="32"/>
      <c r="B114" s="32"/>
      <c r="C114" s="47" t="s">
        <v>262</v>
      </c>
      <c r="D114" s="47">
        <v>32.0</v>
      </c>
      <c r="E114" s="48"/>
      <c r="F114" s="47" t="s">
        <v>263</v>
      </c>
      <c r="G114" s="47" t="s">
        <v>28</v>
      </c>
      <c r="H114" s="47" t="s">
        <v>21</v>
      </c>
      <c r="I114" s="47" t="s">
        <v>52</v>
      </c>
      <c r="J114" s="47" t="s">
        <v>43</v>
      </c>
      <c r="K114" s="47">
        <v>0.0</v>
      </c>
      <c r="L114" s="48"/>
      <c r="M114" s="47" t="s">
        <v>264</v>
      </c>
      <c r="N114" s="47" t="s">
        <v>23</v>
      </c>
      <c r="O114" s="32"/>
      <c r="P114" s="32"/>
      <c r="Q114" s="32"/>
    </row>
    <row r="115">
      <c r="A115" s="56"/>
      <c r="B115" s="56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</row>
    <row r="116">
      <c r="A116" s="56"/>
      <c r="B116" s="56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</row>
    <row r="117">
      <c r="A117" s="56"/>
      <c r="B117" s="56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</row>
    <row r="118">
      <c r="A118" s="56"/>
      <c r="B118" s="56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</row>
    <row r="119">
      <c r="A119" s="56"/>
      <c r="B119" s="56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</row>
    <row r="120">
      <c r="A120" s="56"/>
      <c r="B120" s="56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</row>
    <row r="121">
      <c r="A121" s="56"/>
      <c r="B121" s="56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</row>
    <row r="122">
      <c r="A122" s="56"/>
      <c r="B122" s="56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</row>
    <row r="123">
      <c r="A123" s="56"/>
      <c r="B123" s="56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</row>
    <row r="124">
      <c r="A124" s="56"/>
      <c r="B124" s="56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</row>
    <row r="125">
      <c r="A125" s="56"/>
      <c r="B125" s="56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</row>
    <row r="126">
      <c r="A126" s="56"/>
      <c r="B126" s="56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</row>
    <row r="127">
      <c r="A127" s="56"/>
      <c r="B127" s="56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</row>
    <row r="128">
      <c r="A128" s="56"/>
      <c r="B128" s="56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</row>
    <row r="129">
      <c r="A129" s="56"/>
      <c r="B129" s="56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</row>
    <row r="130">
      <c r="A130" s="56"/>
      <c r="B130" s="56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</row>
    <row r="131">
      <c r="A131" s="56"/>
      <c r="B131" s="56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</row>
    <row r="132">
      <c r="A132" s="56"/>
      <c r="B132" s="56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</row>
    <row r="133">
      <c r="A133" s="56"/>
      <c r="B133" s="56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</row>
    <row r="134">
      <c r="A134" s="56"/>
      <c r="B134" s="56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</row>
    <row r="135">
      <c r="A135" s="56"/>
      <c r="B135" s="56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</row>
    <row r="136">
      <c r="A136" s="56"/>
      <c r="B136" s="56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</row>
    <row r="137">
      <c r="A137" s="56"/>
      <c r="B137" s="56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</row>
    <row r="138">
      <c r="A138" s="56"/>
      <c r="B138" s="56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</row>
    <row r="139">
      <c r="A139" s="56"/>
      <c r="B139" s="56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</row>
    <row r="140">
      <c r="A140" s="56"/>
      <c r="B140" s="56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</row>
    <row r="141">
      <c r="A141" s="56"/>
      <c r="B141" s="56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</row>
    <row r="142">
      <c r="A142" s="56"/>
      <c r="B142" s="56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</row>
    <row r="143">
      <c r="A143" s="56"/>
      <c r="B143" s="56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</row>
    <row r="144">
      <c r="A144" s="56"/>
      <c r="B144" s="56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</row>
    <row r="145">
      <c r="A145" s="56"/>
      <c r="B145" s="56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</row>
    <row r="146">
      <c r="A146" s="56"/>
      <c r="B146" s="56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</row>
    <row r="147">
      <c r="A147" s="56"/>
      <c r="B147" s="56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</row>
    <row r="148">
      <c r="A148" s="56"/>
      <c r="B148" s="56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</row>
    <row r="149">
      <c r="A149" s="56"/>
      <c r="B149" s="56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</row>
    <row r="150">
      <c r="A150" s="56"/>
      <c r="B150" s="56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</row>
    <row r="151">
      <c r="A151" s="56"/>
      <c r="B151" s="56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</row>
    <row r="152">
      <c r="A152" s="56"/>
      <c r="B152" s="56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</row>
    <row r="153">
      <c r="A153" s="56"/>
      <c r="B153" s="56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</row>
    <row r="154">
      <c r="A154" s="56"/>
      <c r="B154" s="56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</row>
    <row r="155">
      <c r="A155" s="56"/>
      <c r="B155" s="56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</row>
    <row r="156">
      <c r="A156" s="56"/>
      <c r="B156" s="56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</row>
    <row r="157">
      <c r="A157" s="56"/>
      <c r="B157" s="56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</row>
    <row r="158">
      <c r="A158" s="56"/>
      <c r="B158" s="56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</row>
    <row r="159">
      <c r="A159" s="56"/>
      <c r="B159" s="56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</row>
    <row r="160">
      <c r="A160" s="56"/>
      <c r="B160" s="56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</row>
    <row r="161">
      <c r="A161" s="56"/>
      <c r="B161" s="56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</row>
    <row r="162">
      <c r="A162" s="56"/>
      <c r="B162" s="56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</row>
    <row r="163">
      <c r="A163" s="56"/>
      <c r="B163" s="56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</row>
    <row r="164">
      <c r="A164" s="56"/>
      <c r="B164" s="56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</row>
    <row r="165">
      <c r="A165" s="56"/>
      <c r="B165" s="56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</row>
    <row r="166">
      <c r="A166" s="56"/>
      <c r="B166" s="56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</row>
    <row r="167">
      <c r="A167" s="56"/>
      <c r="B167" s="56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</row>
    <row r="168">
      <c r="A168" s="56"/>
      <c r="B168" s="56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</row>
    <row r="169">
      <c r="A169" s="56"/>
      <c r="B169" s="56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</row>
    <row r="170">
      <c r="A170" s="56"/>
      <c r="B170" s="56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</row>
    <row r="171">
      <c r="A171" s="56"/>
      <c r="B171" s="56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</row>
    <row r="172">
      <c r="A172" s="56"/>
      <c r="B172" s="56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</row>
    <row r="173">
      <c r="A173" s="56"/>
      <c r="B173" s="56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</row>
    <row r="174">
      <c r="A174" s="56"/>
      <c r="B174" s="56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</row>
    <row r="175">
      <c r="A175" s="56"/>
      <c r="B175" s="56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</row>
    <row r="176">
      <c r="A176" s="56"/>
      <c r="B176" s="56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</row>
    <row r="177">
      <c r="A177" s="56"/>
      <c r="B177" s="56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</row>
    <row r="178">
      <c r="A178" s="56"/>
      <c r="B178" s="56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</row>
    <row r="179">
      <c r="A179" s="56"/>
      <c r="B179" s="56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</row>
    <row r="180">
      <c r="A180" s="56"/>
      <c r="B180" s="56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</row>
    <row r="181">
      <c r="A181" s="56"/>
      <c r="B181" s="56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</row>
    <row r="182">
      <c r="A182" s="56"/>
      <c r="B182" s="56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</row>
    <row r="183">
      <c r="A183" s="56"/>
      <c r="B183" s="56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</row>
    <row r="184">
      <c r="A184" s="56"/>
      <c r="B184" s="56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</row>
    <row r="185">
      <c r="A185" s="56"/>
      <c r="B185" s="56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</row>
    <row r="186">
      <c r="A186" s="56"/>
      <c r="B186" s="56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</row>
    <row r="187">
      <c r="A187" s="56"/>
      <c r="B187" s="56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</row>
    <row r="188">
      <c r="A188" s="56"/>
      <c r="B188" s="56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</row>
    <row r="189">
      <c r="A189" s="56"/>
      <c r="B189" s="56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</row>
    <row r="190">
      <c r="A190" s="56"/>
      <c r="B190" s="56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</row>
    <row r="191">
      <c r="A191" s="56"/>
      <c r="B191" s="56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</row>
    <row r="192">
      <c r="A192" s="56"/>
      <c r="B192" s="56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</row>
    <row r="193">
      <c r="A193" s="56"/>
      <c r="B193" s="56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</row>
    <row r="194">
      <c r="A194" s="56"/>
      <c r="B194" s="56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</row>
    <row r="195">
      <c r="A195" s="56"/>
      <c r="B195" s="56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</row>
    <row r="196">
      <c r="A196" s="56"/>
      <c r="B196" s="56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</row>
    <row r="197">
      <c r="A197" s="56"/>
      <c r="B197" s="56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</row>
    <row r="198">
      <c r="A198" s="56"/>
      <c r="B198" s="56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</row>
    <row r="199">
      <c r="A199" s="56"/>
      <c r="B199" s="56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</row>
    <row r="200">
      <c r="A200" s="56"/>
      <c r="B200" s="56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</row>
    <row r="201">
      <c r="A201" s="56"/>
      <c r="B201" s="56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</row>
    <row r="202">
      <c r="A202" s="56"/>
      <c r="B202" s="56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</row>
    <row r="203">
      <c r="A203" s="56"/>
      <c r="B203" s="56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</row>
    <row r="204">
      <c r="A204" s="56"/>
      <c r="B204" s="56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</row>
    <row r="205">
      <c r="A205" s="56"/>
      <c r="B205" s="56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</row>
    <row r="206">
      <c r="A206" s="56"/>
      <c r="B206" s="56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</row>
    <row r="207">
      <c r="A207" s="56"/>
      <c r="B207" s="56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</row>
    <row r="208">
      <c r="A208" s="56"/>
      <c r="B208" s="56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</row>
    <row r="209">
      <c r="A209" s="56"/>
      <c r="B209" s="56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</row>
    <row r="210">
      <c r="A210" s="56"/>
      <c r="B210" s="56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</row>
    <row r="211">
      <c r="A211" s="56"/>
      <c r="B211" s="56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</row>
    <row r="212">
      <c r="A212" s="56"/>
      <c r="B212" s="56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</row>
    <row r="213">
      <c r="A213" s="56"/>
      <c r="B213" s="56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</row>
    <row r="214">
      <c r="A214" s="56"/>
      <c r="B214" s="56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</row>
    <row r="215">
      <c r="A215" s="56"/>
      <c r="B215" s="56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</row>
    <row r="216">
      <c r="A216" s="56"/>
      <c r="B216" s="56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</row>
    <row r="217">
      <c r="A217" s="56"/>
      <c r="B217" s="56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</row>
    <row r="218">
      <c r="A218" s="56"/>
      <c r="B218" s="56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</row>
    <row r="219">
      <c r="A219" s="56"/>
      <c r="B219" s="56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</row>
    <row r="220">
      <c r="A220" s="56"/>
      <c r="B220" s="56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</row>
    <row r="221">
      <c r="A221" s="56"/>
      <c r="B221" s="56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</row>
    <row r="222">
      <c r="A222" s="56"/>
      <c r="B222" s="56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</row>
    <row r="223">
      <c r="A223" s="56"/>
      <c r="B223" s="56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</row>
    <row r="224">
      <c r="A224" s="56"/>
      <c r="B224" s="56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</row>
    <row r="225">
      <c r="A225" s="56"/>
      <c r="B225" s="56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</row>
    <row r="226">
      <c r="A226" s="56"/>
      <c r="B226" s="56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</row>
    <row r="227">
      <c r="A227" s="56"/>
      <c r="B227" s="56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</row>
    <row r="228">
      <c r="A228" s="56"/>
      <c r="B228" s="56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</row>
    <row r="229">
      <c r="A229" s="56"/>
      <c r="B229" s="56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</row>
    <row r="230">
      <c r="A230" s="56"/>
      <c r="B230" s="56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</row>
    <row r="231">
      <c r="A231" s="56"/>
      <c r="B231" s="56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</row>
    <row r="232">
      <c r="A232" s="56"/>
      <c r="B232" s="56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</row>
    <row r="233">
      <c r="A233" s="56"/>
      <c r="B233" s="56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</row>
    <row r="234">
      <c r="A234" s="56"/>
      <c r="B234" s="56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</row>
    <row r="235">
      <c r="A235" s="56"/>
      <c r="B235" s="56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</row>
    <row r="236">
      <c r="A236" s="56"/>
      <c r="B236" s="56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</row>
    <row r="237">
      <c r="A237" s="56"/>
      <c r="B237" s="56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</row>
    <row r="238">
      <c r="A238" s="56"/>
      <c r="B238" s="56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</row>
    <row r="239">
      <c r="A239" s="56"/>
      <c r="B239" s="56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</row>
    <row r="240">
      <c r="A240" s="56"/>
      <c r="B240" s="56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</row>
    <row r="241">
      <c r="A241" s="56"/>
      <c r="B241" s="56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</row>
    <row r="242">
      <c r="A242" s="56"/>
      <c r="B242" s="56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</row>
    <row r="243">
      <c r="A243" s="56"/>
      <c r="B243" s="56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</row>
    <row r="244">
      <c r="A244" s="56"/>
      <c r="B244" s="56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</row>
    <row r="245">
      <c r="A245" s="56"/>
      <c r="B245" s="56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</row>
    <row r="246">
      <c r="A246" s="56"/>
      <c r="B246" s="56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</row>
    <row r="247">
      <c r="A247" s="56"/>
      <c r="B247" s="56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</row>
    <row r="248">
      <c r="A248" s="56"/>
      <c r="B248" s="56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</row>
    <row r="249">
      <c r="A249" s="56"/>
      <c r="B249" s="56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</row>
    <row r="250">
      <c r="A250" s="56"/>
      <c r="B250" s="56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</row>
    <row r="251">
      <c r="A251" s="56"/>
      <c r="B251" s="56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</row>
    <row r="252">
      <c r="A252" s="56"/>
      <c r="B252" s="56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</row>
    <row r="253">
      <c r="A253" s="56"/>
      <c r="B253" s="56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</row>
    <row r="254">
      <c r="A254" s="56"/>
      <c r="B254" s="56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</row>
    <row r="255">
      <c r="A255" s="56"/>
      <c r="B255" s="56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</row>
    <row r="256">
      <c r="A256" s="56"/>
      <c r="B256" s="56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</row>
    <row r="257">
      <c r="A257" s="56"/>
      <c r="B257" s="56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</row>
    <row r="258">
      <c r="A258" s="56"/>
      <c r="B258" s="56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</row>
    <row r="259">
      <c r="A259" s="56"/>
      <c r="B259" s="56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</row>
    <row r="260">
      <c r="A260" s="56"/>
      <c r="B260" s="56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</row>
    <row r="261">
      <c r="A261" s="56"/>
      <c r="B261" s="56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</row>
    <row r="262">
      <c r="A262" s="56"/>
      <c r="B262" s="56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</row>
    <row r="263">
      <c r="A263" s="56"/>
      <c r="B263" s="56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</row>
    <row r="264">
      <c r="A264" s="56"/>
      <c r="B264" s="56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</row>
    <row r="265">
      <c r="A265" s="56"/>
      <c r="B265" s="56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</row>
    <row r="266">
      <c r="A266" s="56"/>
      <c r="B266" s="56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</row>
    <row r="267">
      <c r="A267" s="56"/>
      <c r="B267" s="56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</row>
    <row r="268">
      <c r="A268" s="56"/>
      <c r="B268" s="56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</row>
    <row r="269">
      <c r="A269" s="56"/>
      <c r="B269" s="56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</row>
    <row r="270">
      <c r="A270" s="56"/>
      <c r="B270" s="56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</row>
    <row r="271">
      <c r="A271" s="56"/>
      <c r="B271" s="56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</row>
    <row r="272">
      <c r="A272" s="56"/>
      <c r="B272" s="56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</row>
    <row r="273">
      <c r="A273" s="56"/>
      <c r="B273" s="56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</row>
    <row r="274">
      <c r="A274" s="56"/>
      <c r="B274" s="56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</row>
    <row r="275">
      <c r="A275" s="56"/>
      <c r="B275" s="56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</row>
    <row r="276">
      <c r="A276" s="56"/>
      <c r="B276" s="56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</row>
    <row r="277">
      <c r="A277" s="56"/>
      <c r="B277" s="56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</row>
    <row r="278">
      <c r="A278" s="56"/>
      <c r="B278" s="56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</row>
    <row r="279">
      <c r="A279" s="56"/>
      <c r="B279" s="56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</row>
    <row r="280">
      <c r="A280" s="56"/>
      <c r="B280" s="56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</row>
    <row r="281">
      <c r="A281" s="56"/>
      <c r="B281" s="56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</row>
    <row r="282">
      <c r="A282" s="56"/>
      <c r="B282" s="56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</row>
    <row r="283">
      <c r="A283" s="56"/>
      <c r="B283" s="56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</row>
    <row r="284">
      <c r="A284" s="56"/>
      <c r="B284" s="56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</row>
    <row r="285">
      <c r="A285" s="56"/>
      <c r="B285" s="56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</row>
    <row r="286">
      <c r="A286" s="56"/>
      <c r="B286" s="56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</row>
    <row r="287">
      <c r="A287" s="56"/>
      <c r="B287" s="56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</row>
    <row r="288">
      <c r="A288" s="56"/>
      <c r="B288" s="56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</row>
    <row r="289">
      <c r="A289" s="56"/>
      <c r="B289" s="56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</row>
    <row r="290">
      <c r="A290" s="56"/>
      <c r="B290" s="56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</row>
    <row r="291">
      <c r="A291" s="56"/>
      <c r="B291" s="56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</row>
    <row r="292">
      <c r="A292" s="56"/>
      <c r="B292" s="56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</row>
    <row r="293">
      <c r="A293" s="56"/>
      <c r="B293" s="56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</row>
    <row r="294">
      <c r="A294" s="56"/>
      <c r="B294" s="56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</row>
    <row r="295">
      <c r="A295" s="56"/>
      <c r="B295" s="56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</row>
    <row r="296">
      <c r="A296" s="56"/>
      <c r="B296" s="56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</row>
    <row r="297">
      <c r="A297" s="56"/>
      <c r="B297" s="56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</row>
    <row r="298">
      <c r="A298" s="56"/>
      <c r="B298" s="56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</row>
    <row r="299">
      <c r="A299" s="56"/>
      <c r="B299" s="56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</row>
    <row r="300">
      <c r="A300" s="56"/>
      <c r="B300" s="56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</row>
    <row r="301">
      <c r="A301" s="56"/>
      <c r="B301" s="56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</row>
    <row r="302">
      <c r="A302" s="56"/>
      <c r="B302" s="56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</row>
    <row r="303">
      <c r="A303" s="56"/>
      <c r="B303" s="56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</row>
    <row r="304">
      <c r="A304" s="56"/>
      <c r="B304" s="56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</row>
    <row r="305">
      <c r="A305" s="56"/>
      <c r="B305" s="56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</row>
    <row r="306">
      <c r="A306" s="56"/>
      <c r="B306" s="56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</row>
    <row r="307">
      <c r="A307" s="56"/>
      <c r="B307" s="56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</row>
    <row r="308">
      <c r="A308" s="56"/>
      <c r="B308" s="56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</row>
    <row r="309">
      <c r="A309" s="56"/>
      <c r="B309" s="56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</row>
    <row r="310">
      <c r="A310" s="56"/>
      <c r="B310" s="56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</row>
    <row r="311">
      <c r="A311" s="56"/>
      <c r="B311" s="56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</row>
    <row r="312">
      <c r="A312" s="56"/>
      <c r="B312" s="56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</row>
    <row r="313">
      <c r="A313" s="56"/>
      <c r="B313" s="56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</row>
    <row r="314">
      <c r="A314" s="56"/>
      <c r="B314" s="56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</row>
    <row r="315">
      <c r="A315" s="56"/>
      <c r="B315" s="56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</row>
    <row r="316">
      <c r="A316" s="56"/>
      <c r="B316" s="56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</row>
    <row r="317">
      <c r="A317" s="56"/>
      <c r="B317" s="56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</row>
    <row r="318">
      <c r="A318" s="56"/>
      <c r="B318" s="56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</row>
    <row r="319">
      <c r="A319" s="56"/>
      <c r="B319" s="56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</row>
    <row r="320">
      <c r="A320" s="56"/>
      <c r="B320" s="56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</row>
    <row r="321">
      <c r="A321" s="56"/>
      <c r="B321" s="56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</row>
    <row r="322">
      <c r="A322" s="56"/>
      <c r="B322" s="56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</row>
    <row r="323">
      <c r="A323" s="56"/>
      <c r="B323" s="56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</row>
    <row r="324">
      <c r="A324" s="56"/>
      <c r="B324" s="56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</row>
    <row r="325">
      <c r="A325" s="56"/>
      <c r="B325" s="56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</row>
    <row r="326">
      <c r="A326" s="56"/>
      <c r="B326" s="56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</row>
    <row r="327">
      <c r="A327" s="56"/>
      <c r="B327" s="56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</row>
    <row r="328">
      <c r="A328" s="56"/>
      <c r="B328" s="56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</row>
    <row r="329">
      <c r="A329" s="56"/>
      <c r="B329" s="56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</row>
    <row r="330">
      <c r="A330" s="56"/>
      <c r="B330" s="56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</row>
    <row r="331">
      <c r="A331" s="56"/>
      <c r="B331" s="56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</row>
    <row r="332">
      <c r="A332" s="56"/>
      <c r="B332" s="56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</row>
    <row r="333">
      <c r="A333" s="56"/>
      <c r="B333" s="56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</row>
    <row r="334">
      <c r="A334" s="56"/>
      <c r="B334" s="56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</row>
    <row r="335">
      <c r="A335" s="56"/>
      <c r="B335" s="56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</row>
    <row r="336">
      <c r="A336" s="56"/>
      <c r="B336" s="56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</row>
    <row r="337">
      <c r="A337" s="56"/>
      <c r="B337" s="56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</row>
    <row r="338">
      <c r="A338" s="56"/>
      <c r="B338" s="56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</row>
    <row r="339">
      <c r="A339" s="56"/>
      <c r="B339" s="56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</row>
    <row r="340">
      <c r="A340" s="56"/>
      <c r="B340" s="56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</row>
    <row r="341">
      <c r="A341" s="56"/>
      <c r="B341" s="56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</row>
    <row r="342">
      <c r="A342" s="56"/>
      <c r="B342" s="56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</row>
    <row r="343">
      <c r="A343" s="56"/>
      <c r="B343" s="56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</row>
    <row r="344">
      <c r="A344" s="56"/>
      <c r="B344" s="56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</row>
    <row r="345">
      <c r="A345" s="56"/>
      <c r="B345" s="56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</row>
    <row r="346">
      <c r="A346" s="56"/>
      <c r="B346" s="56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</row>
    <row r="347">
      <c r="A347" s="56"/>
      <c r="B347" s="56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</row>
    <row r="348">
      <c r="A348" s="56"/>
      <c r="B348" s="56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</row>
    <row r="349">
      <c r="A349" s="56"/>
      <c r="B349" s="56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</row>
    <row r="350">
      <c r="A350" s="56"/>
      <c r="B350" s="56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</row>
    <row r="351">
      <c r="A351" s="56"/>
      <c r="B351" s="56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</row>
    <row r="352">
      <c r="A352" s="56"/>
      <c r="B352" s="56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</row>
    <row r="353">
      <c r="A353" s="56"/>
      <c r="B353" s="56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</row>
    <row r="354">
      <c r="A354" s="56"/>
      <c r="B354" s="56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</row>
    <row r="355">
      <c r="A355" s="56"/>
      <c r="B355" s="56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</row>
    <row r="356">
      <c r="A356" s="56"/>
      <c r="B356" s="56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</row>
    <row r="357">
      <c r="A357" s="56"/>
      <c r="B357" s="56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</row>
    <row r="358">
      <c r="A358" s="56"/>
      <c r="B358" s="56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</row>
    <row r="359">
      <c r="A359" s="56"/>
      <c r="B359" s="56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</row>
    <row r="360">
      <c r="A360" s="56"/>
      <c r="B360" s="56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</row>
    <row r="361">
      <c r="A361" s="56"/>
      <c r="B361" s="56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</row>
    <row r="362">
      <c r="A362" s="56"/>
      <c r="B362" s="56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</row>
    <row r="363">
      <c r="A363" s="56"/>
      <c r="B363" s="56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</row>
    <row r="364">
      <c r="A364" s="56"/>
      <c r="B364" s="56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</row>
    <row r="365">
      <c r="A365" s="56"/>
      <c r="B365" s="56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</row>
    <row r="366">
      <c r="A366" s="56"/>
      <c r="B366" s="56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</row>
    <row r="367">
      <c r="A367" s="56"/>
      <c r="B367" s="56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</row>
    <row r="368">
      <c r="A368" s="56"/>
      <c r="B368" s="56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</row>
    <row r="369">
      <c r="A369" s="56"/>
      <c r="B369" s="56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</row>
    <row r="370">
      <c r="A370" s="56"/>
      <c r="B370" s="56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</row>
    <row r="371">
      <c r="A371" s="56"/>
      <c r="B371" s="56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</row>
    <row r="372">
      <c r="A372" s="56"/>
      <c r="B372" s="56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</row>
    <row r="373">
      <c r="A373" s="56"/>
      <c r="B373" s="56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</row>
    <row r="374">
      <c r="A374" s="56"/>
      <c r="B374" s="56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</row>
    <row r="375">
      <c r="A375" s="56"/>
      <c r="B375" s="56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</row>
    <row r="376">
      <c r="A376" s="56"/>
      <c r="B376" s="56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</row>
    <row r="377">
      <c r="A377" s="56"/>
      <c r="B377" s="56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</row>
    <row r="378">
      <c r="A378" s="56"/>
      <c r="B378" s="56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</row>
    <row r="379">
      <c r="A379" s="56"/>
      <c r="B379" s="56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</row>
    <row r="380">
      <c r="A380" s="56"/>
      <c r="B380" s="56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</row>
    <row r="381">
      <c r="A381" s="56"/>
      <c r="B381" s="56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</row>
    <row r="382">
      <c r="A382" s="56"/>
      <c r="B382" s="56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</row>
    <row r="383">
      <c r="A383" s="56"/>
      <c r="B383" s="56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</row>
    <row r="384">
      <c r="A384" s="56"/>
      <c r="B384" s="56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</row>
    <row r="385">
      <c r="A385" s="56"/>
      <c r="B385" s="56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</row>
    <row r="386">
      <c r="A386" s="56"/>
      <c r="B386" s="56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</row>
    <row r="387">
      <c r="A387" s="56"/>
      <c r="B387" s="56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</row>
    <row r="388">
      <c r="A388" s="56"/>
      <c r="B388" s="56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</row>
    <row r="389">
      <c r="A389" s="56"/>
      <c r="B389" s="56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</row>
    <row r="390">
      <c r="A390" s="56"/>
      <c r="B390" s="56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</row>
    <row r="391">
      <c r="A391" s="56"/>
      <c r="B391" s="56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</row>
    <row r="392">
      <c r="A392" s="56"/>
      <c r="B392" s="56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</row>
    <row r="393">
      <c r="A393" s="56"/>
      <c r="B393" s="56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</row>
    <row r="394">
      <c r="A394" s="56"/>
      <c r="B394" s="56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</row>
    <row r="395">
      <c r="A395" s="56"/>
      <c r="B395" s="56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</row>
    <row r="396">
      <c r="A396" s="56"/>
      <c r="B396" s="56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</row>
    <row r="397">
      <c r="A397" s="56"/>
      <c r="B397" s="56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</row>
    <row r="398">
      <c r="A398" s="56"/>
      <c r="B398" s="56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</row>
    <row r="399">
      <c r="A399" s="56"/>
      <c r="B399" s="56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</row>
    <row r="400">
      <c r="A400" s="56"/>
      <c r="B400" s="56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</row>
    <row r="401">
      <c r="A401" s="56"/>
      <c r="B401" s="56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</row>
    <row r="402">
      <c r="A402" s="56"/>
      <c r="B402" s="56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</row>
    <row r="403">
      <c r="A403" s="56"/>
      <c r="B403" s="56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</row>
    <row r="404">
      <c r="A404" s="56"/>
      <c r="B404" s="56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</row>
    <row r="405">
      <c r="A405" s="56"/>
      <c r="B405" s="56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</row>
    <row r="406">
      <c r="A406" s="56"/>
      <c r="B406" s="56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</row>
    <row r="407">
      <c r="A407" s="56"/>
      <c r="B407" s="56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</row>
    <row r="408">
      <c r="A408" s="56"/>
      <c r="B408" s="56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</row>
    <row r="409">
      <c r="A409" s="56"/>
      <c r="B409" s="56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</row>
    <row r="410">
      <c r="A410" s="56"/>
      <c r="B410" s="56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</row>
    <row r="411">
      <c r="A411" s="56"/>
      <c r="B411" s="56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</row>
    <row r="412">
      <c r="A412" s="56"/>
      <c r="B412" s="56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</row>
    <row r="413">
      <c r="A413" s="56"/>
      <c r="B413" s="56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</row>
    <row r="414">
      <c r="A414" s="56"/>
      <c r="B414" s="56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</row>
    <row r="415">
      <c r="A415" s="56"/>
      <c r="B415" s="56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</row>
    <row r="416">
      <c r="A416" s="56"/>
      <c r="B416" s="56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</row>
    <row r="417">
      <c r="A417" s="56"/>
      <c r="B417" s="56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</row>
    <row r="418">
      <c r="A418" s="56"/>
      <c r="B418" s="56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</row>
    <row r="419">
      <c r="A419" s="56"/>
      <c r="B419" s="56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</row>
    <row r="420">
      <c r="A420" s="56"/>
      <c r="B420" s="56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</row>
    <row r="421">
      <c r="A421" s="56"/>
      <c r="B421" s="56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</row>
    <row r="422">
      <c r="A422" s="56"/>
      <c r="B422" s="56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</row>
    <row r="423">
      <c r="A423" s="56"/>
      <c r="B423" s="56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</row>
    <row r="424">
      <c r="A424" s="56"/>
      <c r="B424" s="56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</row>
    <row r="425">
      <c r="A425" s="56"/>
      <c r="B425" s="56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</row>
    <row r="426">
      <c r="A426" s="56"/>
      <c r="B426" s="56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</row>
    <row r="427">
      <c r="A427" s="56"/>
      <c r="B427" s="56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</row>
    <row r="428">
      <c r="A428" s="56"/>
      <c r="B428" s="56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</row>
    <row r="429">
      <c r="A429" s="56"/>
      <c r="B429" s="56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</row>
    <row r="430">
      <c r="A430" s="56"/>
      <c r="B430" s="56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</row>
    <row r="431">
      <c r="A431" s="56"/>
      <c r="B431" s="56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</row>
    <row r="432">
      <c r="A432" s="56"/>
      <c r="B432" s="56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</row>
    <row r="433">
      <c r="A433" s="56"/>
      <c r="B433" s="56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</row>
    <row r="434">
      <c r="A434" s="56"/>
      <c r="B434" s="56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</row>
    <row r="435">
      <c r="A435" s="56"/>
      <c r="B435" s="56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</row>
    <row r="436">
      <c r="A436" s="56"/>
      <c r="B436" s="56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</row>
    <row r="437">
      <c r="A437" s="56"/>
      <c r="B437" s="56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</row>
    <row r="438">
      <c r="A438" s="56"/>
      <c r="B438" s="56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</row>
    <row r="439">
      <c r="A439" s="56"/>
      <c r="B439" s="56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</row>
    <row r="440">
      <c r="A440" s="56"/>
      <c r="B440" s="56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</row>
    <row r="441">
      <c r="A441" s="56"/>
      <c r="B441" s="56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</row>
    <row r="442">
      <c r="A442" s="56"/>
      <c r="B442" s="56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</row>
    <row r="443">
      <c r="A443" s="56"/>
      <c r="B443" s="56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</row>
    <row r="444">
      <c r="A444" s="56"/>
      <c r="B444" s="56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</row>
    <row r="445">
      <c r="A445" s="56"/>
      <c r="B445" s="56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</row>
    <row r="446">
      <c r="A446" s="56"/>
      <c r="B446" s="56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</row>
    <row r="447">
      <c r="A447" s="56"/>
      <c r="B447" s="56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</row>
    <row r="448">
      <c r="A448" s="56"/>
      <c r="B448" s="56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</row>
    <row r="449">
      <c r="A449" s="56"/>
      <c r="B449" s="56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</row>
    <row r="450">
      <c r="A450" s="56"/>
      <c r="B450" s="56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</row>
    <row r="451">
      <c r="A451" s="56"/>
      <c r="B451" s="56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</row>
    <row r="452">
      <c r="A452" s="56"/>
      <c r="B452" s="56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</row>
    <row r="453">
      <c r="A453" s="56"/>
      <c r="B453" s="56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</row>
    <row r="454">
      <c r="A454" s="56"/>
      <c r="B454" s="56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</row>
    <row r="455">
      <c r="A455" s="56"/>
      <c r="B455" s="56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</row>
    <row r="456">
      <c r="A456" s="56"/>
      <c r="B456" s="56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</row>
    <row r="457">
      <c r="A457" s="56"/>
      <c r="B457" s="56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</row>
    <row r="458">
      <c r="A458" s="56"/>
      <c r="B458" s="56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</row>
    <row r="459">
      <c r="A459" s="56"/>
      <c r="B459" s="56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</row>
    <row r="460">
      <c r="A460" s="56"/>
      <c r="B460" s="56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</row>
    <row r="461">
      <c r="A461" s="56"/>
      <c r="B461" s="56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</row>
    <row r="462">
      <c r="A462" s="56"/>
      <c r="B462" s="56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</row>
    <row r="463">
      <c r="A463" s="56"/>
      <c r="B463" s="56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</row>
    <row r="464">
      <c r="A464" s="56"/>
      <c r="B464" s="56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</row>
    <row r="465">
      <c r="A465" s="56"/>
      <c r="B465" s="56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</row>
    <row r="466">
      <c r="A466" s="56"/>
      <c r="B466" s="56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</row>
    <row r="467">
      <c r="A467" s="56"/>
      <c r="B467" s="56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</row>
    <row r="468">
      <c r="A468" s="56"/>
      <c r="B468" s="56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</row>
    <row r="469">
      <c r="A469" s="56"/>
      <c r="B469" s="56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</row>
    <row r="470">
      <c r="A470" s="56"/>
      <c r="B470" s="56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</row>
    <row r="471">
      <c r="A471" s="56"/>
      <c r="B471" s="56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</row>
    <row r="472">
      <c r="A472" s="56"/>
      <c r="B472" s="56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</row>
    <row r="473">
      <c r="A473" s="56"/>
      <c r="B473" s="56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</row>
    <row r="474">
      <c r="A474" s="56"/>
      <c r="B474" s="56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</row>
    <row r="475">
      <c r="A475" s="56"/>
      <c r="B475" s="56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</row>
    <row r="476">
      <c r="A476" s="56"/>
      <c r="B476" s="56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</row>
    <row r="477">
      <c r="A477" s="56"/>
      <c r="B477" s="56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</row>
    <row r="478">
      <c r="A478" s="56"/>
      <c r="B478" s="56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</row>
    <row r="479">
      <c r="A479" s="56"/>
      <c r="B479" s="56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</row>
    <row r="480">
      <c r="A480" s="56"/>
      <c r="B480" s="56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</row>
    <row r="481">
      <c r="A481" s="56"/>
      <c r="B481" s="56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</row>
    <row r="482">
      <c r="A482" s="56"/>
      <c r="B482" s="56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</row>
    <row r="483">
      <c r="A483" s="56"/>
      <c r="B483" s="56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</row>
    <row r="484">
      <c r="A484" s="56"/>
      <c r="B484" s="56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</row>
    <row r="485">
      <c r="A485" s="56"/>
      <c r="B485" s="56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</row>
    <row r="486">
      <c r="A486" s="56"/>
      <c r="B486" s="56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</row>
    <row r="487">
      <c r="A487" s="56"/>
      <c r="B487" s="56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</row>
    <row r="488">
      <c r="A488" s="56"/>
      <c r="B488" s="56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</row>
    <row r="489">
      <c r="A489" s="56"/>
      <c r="B489" s="56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</row>
    <row r="490">
      <c r="A490" s="56"/>
      <c r="B490" s="56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</row>
    <row r="491">
      <c r="A491" s="56"/>
      <c r="B491" s="56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</row>
    <row r="492">
      <c r="A492" s="56"/>
      <c r="B492" s="56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</row>
    <row r="493">
      <c r="A493" s="56"/>
      <c r="B493" s="56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</row>
    <row r="494">
      <c r="A494" s="56"/>
      <c r="B494" s="56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</row>
    <row r="495">
      <c r="A495" s="56"/>
      <c r="B495" s="56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</row>
    <row r="496">
      <c r="A496" s="56"/>
      <c r="B496" s="56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</row>
    <row r="497">
      <c r="A497" s="56"/>
      <c r="B497" s="56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</row>
    <row r="498">
      <c r="A498" s="56"/>
      <c r="B498" s="56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</row>
    <row r="499">
      <c r="A499" s="56"/>
      <c r="B499" s="56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</row>
    <row r="500">
      <c r="A500" s="56"/>
      <c r="B500" s="56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</row>
    <row r="501">
      <c r="A501" s="56"/>
      <c r="B501" s="56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</row>
    <row r="502">
      <c r="A502" s="56"/>
      <c r="B502" s="56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</row>
    <row r="503">
      <c r="A503" s="56"/>
      <c r="B503" s="56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</row>
    <row r="504">
      <c r="A504" s="56"/>
      <c r="B504" s="56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</row>
    <row r="505">
      <c r="A505" s="56"/>
      <c r="B505" s="56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</row>
    <row r="506">
      <c r="A506" s="56"/>
      <c r="B506" s="56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</row>
    <row r="507">
      <c r="A507" s="56"/>
      <c r="B507" s="56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</row>
    <row r="508">
      <c r="A508" s="56"/>
      <c r="B508" s="56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</row>
    <row r="509">
      <c r="A509" s="56"/>
      <c r="B509" s="56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</row>
    <row r="510">
      <c r="A510" s="56"/>
      <c r="B510" s="56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</row>
    <row r="511">
      <c r="A511" s="56"/>
      <c r="B511" s="56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</row>
    <row r="512">
      <c r="A512" s="56"/>
      <c r="B512" s="56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</row>
    <row r="513">
      <c r="A513" s="56"/>
      <c r="B513" s="56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</row>
    <row r="514">
      <c r="A514" s="56"/>
      <c r="B514" s="56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</row>
    <row r="515">
      <c r="A515" s="56"/>
      <c r="B515" s="56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</row>
    <row r="516">
      <c r="A516" s="56"/>
      <c r="B516" s="56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</row>
    <row r="517">
      <c r="A517" s="56"/>
      <c r="B517" s="56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</row>
    <row r="518">
      <c r="A518" s="56"/>
      <c r="B518" s="56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</row>
    <row r="519">
      <c r="A519" s="56"/>
      <c r="B519" s="56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</row>
    <row r="520">
      <c r="A520" s="56"/>
      <c r="B520" s="56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</row>
    <row r="521">
      <c r="A521" s="56"/>
      <c r="B521" s="56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</row>
    <row r="522">
      <c r="A522" s="56"/>
      <c r="B522" s="56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</row>
    <row r="523">
      <c r="A523" s="56"/>
      <c r="B523" s="56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</row>
    <row r="524">
      <c r="A524" s="56"/>
      <c r="B524" s="56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</row>
    <row r="525">
      <c r="A525" s="56"/>
      <c r="B525" s="56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</row>
    <row r="526">
      <c r="A526" s="56"/>
      <c r="B526" s="56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</row>
    <row r="527">
      <c r="A527" s="56"/>
      <c r="B527" s="56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</row>
    <row r="528">
      <c r="A528" s="56"/>
      <c r="B528" s="56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</row>
    <row r="529">
      <c r="A529" s="56"/>
      <c r="B529" s="56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</row>
    <row r="530">
      <c r="A530" s="56"/>
      <c r="B530" s="56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</row>
    <row r="531">
      <c r="A531" s="56"/>
      <c r="B531" s="56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</row>
    <row r="532">
      <c r="A532" s="56"/>
      <c r="B532" s="56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</row>
    <row r="533">
      <c r="A533" s="56"/>
      <c r="B533" s="56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</row>
    <row r="534">
      <c r="A534" s="56"/>
      <c r="B534" s="56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</row>
    <row r="535">
      <c r="A535" s="56"/>
      <c r="B535" s="56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</row>
    <row r="536">
      <c r="A536" s="56"/>
      <c r="B536" s="56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</row>
    <row r="537">
      <c r="A537" s="56"/>
      <c r="B537" s="56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</row>
    <row r="538">
      <c r="A538" s="56"/>
      <c r="B538" s="56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</row>
    <row r="539">
      <c r="A539" s="56"/>
      <c r="B539" s="56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</row>
    <row r="540">
      <c r="A540" s="56"/>
      <c r="B540" s="56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</row>
    <row r="541">
      <c r="A541" s="56"/>
      <c r="B541" s="56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</row>
    <row r="542">
      <c r="A542" s="56"/>
      <c r="B542" s="56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</row>
    <row r="543">
      <c r="A543" s="56"/>
      <c r="B543" s="56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</row>
    <row r="544">
      <c r="A544" s="56"/>
      <c r="B544" s="56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</row>
    <row r="545">
      <c r="A545" s="56"/>
      <c r="B545" s="56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</row>
    <row r="546">
      <c r="A546" s="56"/>
      <c r="B546" s="56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</row>
    <row r="547">
      <c r="A547" s="56"/>
      <c r="B547" s="56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</row>
    <row r="548">
      <c r="A548" s="56"/>
      <c r="B548" s="56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</row>
    <row r="549">
      <c r="A549" s="56"/>
      <c r="B549" s="56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</row>
    <row r="550">
      <c r="A550" s="56"/>
      <c r="B550" s="56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</row>
    <row r="551">
      <c r="A551" s="56"/>
      <c r="B551" s="56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</row>
    <row r="552">
      <c r="A552" s="56"/>
      <c r="B552" s="56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</row>
    <row r="553">
      <c r="A553" s="56"/>
      <c r="B553" s="56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</row>
    <row r="554">
      <c r="A554" s="56"/>
      <c r="B554" s="56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</row>
    <row r="555">
      <c r="A555" s="56"/>
      <c r="B555" s="56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</row>
    <row r="556">
      <c r="A556" s="56"/>
      <c r="B556" s="56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</row>
    <row r="557">
      <c r="A557" s="56"/>
      <c r="B557" s="56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</row>
    <row r="558">
      <c r="A558" s="56"/>
      <c r="B558" s="56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</row>
    <row r="559">
      <c r="A559" s="56"/>
      <c r="B559" s="56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</row>
    <row r="560">
      <c r="A560" s="56"/>
      <c r="B560" s="56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</row>
    <row r="561">
      <c r="A561" s="56"/>
      <c r="B561" s="56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</row>
    <row r="562">
      <c r="A562" s="56"/>
      <c r="B562" s="56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</row>
    <row r="563">
      <c r="A563" s="56"/>
      <c r="B563" s="56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</row>
    <row r="564">
      <c r="A564" s="56"/>
      <c r="B564" s="56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</row>
    <row r="565">
      <c r="A565" s="56"/>
      <c r="B565" s="56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</row>
    <row r="566">
      <c r="A566" s="56"/>
      <c r="B566" s="56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</row>
    <row r="567">
      <c r="A567" s="56"/>
      <c r="B567" s="56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</row>
    <row r="568">
      <c r="A568" s="56"/>
      <c r="B568" s="56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</row>
    <row r="569">
      <c r="A569" s="56"/>
      <c r="B569" s="56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</row>
    <row r="570">
      <c r="A570" s="56"/>
      <c r="B570" s="56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</row>
    <row r="571">
      <c r="A571" s="56"/>
      <c r="B571" s="56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</row>
    <row r="572">
      <c r="A572" s="56"/>
      <c r="B572" s="56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</row>
    <row r="573">
      <c r="A573" s="56"/>
      <c r="B573" s="56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</row>
    <row r="574">
      <c r="A574" s="56"/>
      <c r="B574" s="56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</row>
    <row r="575">
      <c r="A575" s="56"/>
      <c r="B575" s="56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</row>
    <row r="576">
      <c r="A576" s="56"/>
      <c r="B576" s="56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</row>
    <row r="577">
      <c r="A577" s="56"/>
      <c r="B577" s="56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</row>
    <row r="578">
      <c r="A578" s="56"/>
      <c r="B578" s="56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</row>
    <row r="579">
      <c r="A579" s="56"/>
      <c r="B579" s="56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</row>
    <row r="580">
      <c r="A580" s="56"/>
      <c r="B580" s="56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</row>
    <row r="581">
      <c r="A581" s="56"/>
      <c r="B581" s="56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</row>
    <row r="582">
      <c r="A582" s="56"/>
      <c r="B582" s="56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</row>
    <row r="583">
      <c r="A583" s="56"/>
      <c r="B583" s="56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</row>
    <row r="584">
      <c r="A584" s="56"/>
      <c r="B584" s="56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</row>
    <row r="585">
      <c r="A585" s="56"/>
      <c r="B585" s="56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</row>
    <row r="586">
      <c r="A586" s="56"/>
      <c r="B586" s="56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</row>
    <row r="587">
      <c r="A587" s="56"/>
      <c r="B587" s="56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</row>
    <row r="588">
      <c r="A588" s="56"/>
      <c r="B588" s="56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</row>
    <row r="589">
      <c r="A589" s="56"/>
      <c r="B589" s="56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</row>
    <row r="590">
      <c r="A590" s="56"/>
      <c r="B590" s="56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</row>
    <row r="591">
      <c r="A591" s="56"/>
      <c r="B591" s="56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</row>
    <row r="592">
      <c r="A592" s="56"/>
      <c r="B592" s="56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</row>
    <row r="593">
      <c r="A593" s="56"/>
      <c r="B593" s="56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</row>
    <row r="594">
      <c r="A594" s="56"/>
      <c r="B594" s="56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</row>
    <row r="595">
      <c r="A595" s="56"/>
      <c r="B595" s="56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</row>
    <row r="596">
      <c r="A596" s="56"/>
      <c r="B596" s="56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</row>
    <row r="597">
      <c r="A597" s="56"/>
      <c r="B597" s="56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</row>
    <row r="598">
      <c r="A598" s="56"/>
      <c r="B598" s="56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</row>
    <row r="599">
      <c r="A599" s="56"/>
      <c r="B599" s="56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</row>
    <row r="600">
      <c r="A600" s="56"/>
      <c r="B600" s="56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</row>
    <row r="601">
      <c r="A601" s="56"/>
      <c r="B601" s="56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</row>
    <row r="602">
      <c r="A602" s="56"/>
      <c r="B602" s="56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</row>
    <row r="603">
      <c r="A603" s="56"/>
      <c r="B603" s="56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</row>
    <row r="604">
      <c r="A604" s="56"/>
      <c r="B604" s="56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</row>
    <row r="605">
      <c r="A605" s="56"/>
      <c r="B605" s="56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</row>
    <row r="606">
      <c r="A606" s="56"/>
      <c r="B606" s="56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</row>
    <row r="607">
      <c r="A607" s="56"/>
      <c r="B607" s="56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</row>
    <row r="608">
      <c r="A608" s="56"/>
      <c r="B608" s="56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</row>
    <row r="609">
      <c r="A609" s="56"/>
      <c r="B609" s="56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</row>
    <row r="610">
      <c r="A610" s="56"/>
      <c r="B610" s="56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</row>
    <row r="611">
      <c r="A611" s="56"/>
      <c r="B611" s="56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</row>
    <row r="612">
      <c r="A612" s="56"/>
      <c r="B612" s="56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</row>
    <row r="613">
      <c r="A613" s="56"/>
      <c r="B613" s="56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</row>
    <row r="614">
      <c r="A614" s="56"/>
      <c r="B614" s="56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</row>
    <row r="615">
      <c r="A615" s="56"/>
      <c r="B615" s="56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</row>
    <row r="616">
      <c r="A616" s="56"/>
      <c r="B616" s="56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</row>
    <row r="617">
      <c r="A617" s="56"/>
      <c r="B617" s="56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</row>
    <row r="618">
      <c r="A618" s="56"/>
      <c r="B618" s="56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</row>
    <row r="619">
      <c r="A619" s="56"/>
      <c r="B619" s="56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</row>
    <row r="620">
      <c r="A620" s="56"/>
      <c r="B620" s="56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</row>
    <row r="621">
      <c r="A621" s="56"/>
      <c r="B621" s="56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</row>
    <row r="622">
      <c r="A622" s="56"/>
      <c r="B622" s="56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</row>
    <row r="623">
      <c r="A623" s="56"/>
      <c r="B623" s="56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</row>
    <row r="624">
      <c r="A624" s="56"/>
      <c r="B624" s="56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</row>
    <row r="625">
      <c r="A625" s="56"/>
      <c r="B625" s="56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</row>
    <row r="626">
      <c r="A626" s="56"/>
      <c r="B626" s="56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</row>
    <row r="627">
      <c r="A627" s="56"/>
      <c r="B627" s="56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</row>
    <row r="628">
      <c r="A628" s="56"/>
      <c r="B628" s="56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</row>
    <row r="629">
      <c r="A629" s="56"/>
      <c r="B629" s="56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</row>
    <row r="630">
      <c r="A630" s="56"/>
      <c r="B630" s="56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</row>
    <row r="631">
      <c r="A631" s="56"/>
      <c r="B631" s="56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</row>
    <row r="632">
      <c r="A632" s="56"/>
      <c r="B632" s="56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</row>
    <row r="633">
      <c r="A633" s="56"/>
      <c r="B633" s="56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</row>
    <row r="634">
      <c r="A634" s="56"/>
      <c r="B634" s="56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</row>
    <row r="635">
      <c r="A635" s="56"/>
      <c r="B635" s="56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</row>
    <row r="636">
      <c r="A636" s="56"/>
      <c r="B636" s="56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</row>
    <row r="637">
      <c r="A637" s="56"/>
      <c r="B637" s="56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</row>
    <row r="638">
      <c r="A638" s="56"/>
      <c r="B638" s="56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</row>
    <row r="639">
      <c r="A639" s="56"/>
      <c r="B639" s="56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</row>
    <row r="640">
      <c r="A640" s="56"/>
      <c r="B640" s="56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</row>
    <row r="641">
      <c r="A641" s="56"/>
      <c r="B641" s="56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</row>
    <row r="642">
      <c r="A642" s="56"/>
      <c r="B642" s="56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</row>
    <row r="643">
      <c r="A643" s="56"/>
      <c r="B643" s="56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</row>
    <row r="644">
      <c r="A644" s="56"/>
      <c r="B644" s="56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</row>
    <row r="645">
      <c r="A645" s="56"/>
      <c r="B645" s="56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</row>
    <row r="646">
      <c r="A646" s="56"/>
      <c r="B646" s="56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</row>
    <row r="647">
      <c r="A647" s="56"/>
      <c r="B647" s="56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</row>
    <row r="648">
      <c r="A648" s="56"/>
      <c r="B648" s="56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</row>
    <row r="649">
      <c r="A649" s="56"/>
      <c r="B649" s="56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</row>
    <row r="650">
      <c r="A650" s="56"/>
      <c r="B650" s="56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</row>
    <row r="651">
      <c r="A651" s="56"/>
      <c r="B651" s="56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</row>
    <row r="652">
      <c r="A652" s="56"/>
      <c r="B652" s="56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</row>
    <row r="653">
      <c r="A653" s="56"/>
      <c r="B653" s="56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</row>
    <row r="654">
      <c r="A654" s="56"/>
      <c r="B654" s="56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</row>
    <row r="655">
      <c r="A655" s="56"/>
      <c r="B655" s="56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</row>
    <row r="656">
      <c r="A656" s="56"/>
      <c r="B656" s="56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</row>
    <row r="657">
      <c r="A657" s="56"/>
      <c r="B657" s="56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</row>
    <row r="658">
      <c r="A658" s="56"/>
      <c r="B658" s="56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</row>
    <row r="659">
      <c r="A659" s="56"/>
      <c r="B659" s="56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</row>
    <row r="660">
      <c r="A660" s="56"/>
      <c r="B660" s="56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</row>
    <row r="661">
      <c r="A661" s="56"/>
      <c r="B661" s="56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</row>
    <row r="662">
      <c r="A662" s="56"/>
      <c r="B662" s="56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</row>
    <row r="663">
      <c r="A663" s="56"/>
      <c r="B663" s="56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</row>
    <row r="664">
      <c r="A664" s="56"/>
      <c r="B664" s="56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</row>
    <row r="665">
      <c r="A665" s="56"/>
      <c r="B665" s="56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</row>
    <row r="666">
      <c r="A666" s="56"/>
      <c r="B666" s="56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</row>
    <row r="667">
      <c r="A667" s="56"/>
      <c r="B667" s="56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</row>
    <row r="668">
      <c r="A668" s="56"/>
      <c r="B668" s="56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</row>
    <row r="669">
      <c r="A669" s="56"/>
      <c r="B669" s="56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</row>
    <row r="670">
      <c r="A670" s="56"/>
      <c r="B670" s="56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</row>
    <row r="671">
      <c r="A671" s="56"/>
      <c r="B671" s="56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</row>
    <row r="672">
      <c r="A672" s="56"/>
      <c r="B672" s="56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</row>
    <row r="673">
      <c r="A673" s="56"/>
      <c r="B673" s="56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</row>
    <row r="674">
      <c r="A674" s="56"/>
      <c r="B674" s="56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</row>
    <row r="675">
      <c r="A675" s="56"/>
      <c r="B675" s="56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</row>
    <row r="676">
      <c r="A676" s="56"/>
      <c r="B676" s="56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</row>
    <row r="677">
      <c r="A677" s="56"/>
      <c r="B677" s="56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</row>
    <row r="678">
      <c r="A678" s="56"/>
      <c r="B678" s="56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</row>
    <row r="679">
      <c r="A679" s="56"/>
      <c r="B679" s="56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</row>
    <row r="680">
      <c r="A680" s="56"/>
      <c r="B680" s="56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</row>
    <row r="681">
      <c r="A681" s="56"/>
      <c r="B681" s="56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</row>
    <row r="682">
      <c r="A682" s="56"/>
      <c r="B682" s="56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</row>
    <row r="683">
      <c r="A683" s="56"/>
      <c r="B683" s="56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</row>
    <row r="684">
      <c r="A684" s="56"/>
      <c r="B684" s="56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</row>
    <row r="685">
      <c r="A685" s="56"/>
      <c r="B685" s="56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</row>
    <row r="686">
      <c r="A686" s="56"/>
      <c r="B686" s="56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</row>
    <row r="687">
      <c r="A687" s="56"/>
      <c r="B687" s="56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</row>
    <row r="688">
      <c r="A688" s="56"/>
      <c r="B688" s="56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</row>
    <row r="689">
      <c r="A689" s="56"/>
      <c r="B689" s="56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</row>
    <row r="690">
      <c r="A690" s="56"/>
      <c r="B690" s="56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</row>
    <row r="691">
      <c r="A691" s="56"/>
      <c r="B691" s="56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</row>
    <row r="692">
      <c r="A692" s="56"/>
      <c r="B692" s="56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</row>
    <row r="693">
      <c r="A693" s="56"/>
      <c r="B693" s="56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</row>
    <row r="694">
      <c r="A694" s="56"/>
      <c r="B694" s="56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</row>
    <row r="695">
      <c r="A695" s="56"/>
      <c r="B695" s="56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</row>
    <row r="696">
      <c r="A696" s="56"/>
      <c r="B696" s="56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</row>
    <row r="697">
      <c r="A697" s="56"/>
      <c r="B697" s="56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</row>
    <row r="698">
      <c r="A698" s="56"/>
      <c r="B698" s="56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</row>
    <row r="699">
      <c r="A699" s="56"/>
      <c r="B699" s="56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</row>
    <row r="700">
      <c r="A700" s="56"/>
      <c r="B700" s="56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</row>
    <row r="701">
      <c r="A701" s="56"/>
      <c r="B701" s="56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</row>
    <row r="702">
      <c r="A702" s="56"/>
      <c r="B702" s="56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</row>
    <row r="703">
      <c r="A703" s="56"/>
      <c r="B703" s="56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</row>
    <row r="704">
      <c r="A704" s="56"/>
      <c r="B704" s="56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</row>
    <row r="705">
      <c r="A705" s="56"/>
      <c r="B705" s="56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</row>
    <row r="706">
      <c r="A706" s="56"/>
      <c r="B706" s="56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</row>
    <row r="707">
      <c r="A707" s="56"/>
      <c r="B707" s="56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</row>
    <row r="708">
      <c r="A708" s="56"/>
      <c r="B708" s="56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</row>
    <row r="709">
      <c r="A709" s="56"/>
      <c r="B709" s="56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</row>
    <row r="710">
      <c r="A710" s="56"/>
      <c r="B710" s="56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</row>
    <row r="711">
      <c r="A711" s="56"/>
      <c r="B711" s="56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</row>
    <row r="712">
      <c r="A712" s="56"/>
      <c r="B712" s="56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</row>
    <row r="713">
      <c r="A713" s="56"/>
      <c r="B713" s="56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</row>
    <row r="714">
      <c r="A714" s="56"/>
      <c r="B714" s="56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</row>
    <row r="715">
      <c r="A715" s="56"/>
      <c r="B715" s="56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</row>
    <row r="716">
      <c r="A716" s="56"/>
      <c r="B716" s="56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</row>
    <row r="717">
      <c r="A717" s="56"/>
      <c r="B717" s="56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</row>
    <row r="718">
      <c r="A718" s="56"/>
      <c r="B718" s="56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</row>
    <row r="719">
      <c r="A719" s="56"/>
      <c r="B719" s="56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</row>
    <row r="720">
      <c r="A720" s="56"/>
      <c r="B720" s="56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</row>
    <row r="721">
      <c r="A721" s="56"/>
      <c r="B721" s="56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</row>
    <row r="722">
      <c r="A722" s="56"/>
      <c r="B722" s="56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</row>
    <row r="723">
      <c r="A723" s="56"/>
      <c r="B723" s="56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</row>
    <row r="724">
      <c r="A724" s="56"/>
      <c r="B724" s="56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</row>
    <row r="725">
      <c r="A725" s="56"/>
      <c r="B725" s="56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</row>
    <row r="726">
      <c r="A726" s="56"/>
      <c r="B726" s="56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</row>
    <row r="727">
      <c r="A727" s="56"/>
      <c r="B727" s="56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</row>
    <row r="728">
      <c r="A728" s="56"/>
      <c r="B728" s="56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</row>
    <row r="729">
      <c r="A729" s="56"/>
      <c r="B729" s="56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</row>
    <row r="730">
      <c r="A730" s="56"/>
      <c r="B730" s="56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</row>
    <row r="731">
      <c r="A731" s="56"/>
      <c r="B731" s="56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</row>
    <row r="732">
      <c r="A732" s="56"/>
      <c r="B732" s="56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</row>
    <row r="733">
      <c r="A733" s="56"/>
      <c r="B733" s="56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</row>
    <row r="734">
      <c r="A734" s="56"/>
      <c r="B734" s="56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</row>
    <row r="735">
      <c r="A735" s="56"/>
      <c r="B735" s="56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</row>
    <row r="736">
      <c r="A736" s="56"/>
      <c r="B736" s="56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</row>
    <row r="737">
      <c r="A737" s="56"/>
      <c r="B737" s="56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</row>
    <row r="738">
      <c r="A738" s="56"/>
      <c r="B738" s="56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</row>
    <row r="739">
      <c r="A739" s="56"/>
      <c r="B739" s="56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</row>
    <row r="740">
      <c r="A740" s="56"/>
      <c r="B740" s="56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</row>
    <row r="741">
      <c r="A741" s="56"/>
      <c r="B741" s="56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</row>
    <row r="742">
      <c r="A742" s="56"/>
      <c r="B742" s="56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</row>
    <row r="743">
      <c r="A743" s="56"/>
      <c r="B743" s="56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</row>
    <row r="744">
      <c r="A744" s="56"/>
      <c r="B744" s="56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</row>
    <row r="745">
      <c r="A745" s="56"/>
      <c r="B745" s="56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</row>
    <row r="746">
      <c r="A746" s="56"/>
      <c r="B746" s="56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</row>
    <row r="747">
      <c r="A747" s="56"/>
      <c r="B747" s="56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</row>
    <row r="748">
      <c r="A748" s="56"/>
      <c r="B748" s="56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</row>
    <row r="749">
      <c r="A749" s="56"/>
      <c r="B749" s="56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</row>
    <row r="750">
      <c r="A750" s="56"/>
      <c r="B750" s="56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</row>
    <row r="751">
      <c r="A751" s="56"/>
      <c r="B751" s="56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</row>
    <row r="752">
      <c r="A752" s="56"/>
      <c r="B752" s="56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</row>
    <row r="753">
      <c r="A753" s="56"/>
      <c r="B753" s="56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</row>
    <row r="754">
      <c r="A754" s="56"/>
      <c r="B754" s="56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</row>
    <row r="755">
      <c r="A755" s="56"/>
      <c r="B755" s="56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</row>
    <row r="756">
      <c r="A756" s="56"/>
      <c r="B756" s="56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</row>
    <row r="757">
      <c r="A757" s="56"/>
      <c r="B757" s="56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</row>
    <row r="758">
      <c r="A758" s="56"/>
      <c r="B758" s="56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</row>
    <row r="759">
      <c r="A759" s="56"/>
      <c r="B759" s="56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</row>
    <row r="760">
      <c r="A760" s="56"/>
      <c r="B760" s="56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</row>
    <row r="761">
      <c r="A761" s="56"/>
      <c r="B761" s="56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</row>
    <row r="762">
      <c r="A762" s="56"/>
      <c r="B762" s="56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</row>
    <row r="763">
      <c r="A763" s="56"/>
      <c r="B763" s="56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</row>
    <row r="764">
      <c r="A764" s="56"/>
      <c r="B764" s="56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</row>
    <row r="765">
      <c r="A765" s="56"/>
      <c r="B765" s="56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</row>
    <row r="766">
      <c r="A766" s="56"/>
      <c r="B766" s="56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</row>
    <row r="767">
      <c r="A767" s="56"/>
      <c r="B767" s="56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</row>
    <row r="768">
      <c r="A768" s="56"/>
      <c r="B768" s="56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</row>
    <row r="769">
      <c r="A769" s="56"/>
      <c r="B769" s="56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</row>
    <row r="770">
      <c r="A770" s="56"/>
      <c r="B770" s="56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</row>
    <row r="771">
      <c r="A771" s="56"/>
      <c r="B771" s="56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</row>
    <row r="772">
      <c r="A772" s="56"/>
      <c r="B772" s="56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</row>
    <row r="773">
      <c r="A773" s="56"/>
      <c r="B773" s="56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</row>
    <row r="774">
      <c r="A774" s="56"/>
      <c r="B774" s="56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</row>
    <row r="775">
      <c r="A775" s="56"/>
      <c r="B775" s="56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</row>
    <row r="776">
      <c r="A776" s="56"/>
      <c r="B776" s="56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</row>
    <row r="777">
      <c r="A777" s="56"/>
      <c r="B777" s="56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</row>
    <row r="778">
      <c r="A778" s="56"/>
      <c r="B778" s="56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</row>
    <row r="779">
      <c r="A779" s="56"/>
      <c r="B779" s="56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</row>
    <row r="780">
      <c r="A780" s="56"/>
      <c r="B780" s="56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</row>
    <row r="781">
      <c r="A781" s="56"/>
      <c r="B781" s="56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</row>
    <row r="782">
      <c r="A782" s="56"/>
      <c r="B782" s="56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</row>
    <row r="783">
      <c r="A783" s="56"/>
      <c r="B783" s="56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</row>
    <row r="784">
      <c r="A784" s="56"/>
      <c r="B784" s="56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</row>
    <row r="785">
      <c r="A785" s="56"/>
      <c r="B785" s="56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</row>
    <row r="786">
      <c r="A786" s="56"/>
      <c r="B786" s="56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</row>
    <row r="787">
      <c r="A787" s="56"/>
      <c r="B787" s="56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</row>
    <row r="788">
      <c r="A788" s="56"/>
      <c r="B788" s="56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</row>
    <row r="789">
      <c r="A789" s="56"/>
      <c r="B789" s="56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</row>
    <row r="790">
      <c r="A790" s="56"/>
      <c r="B790" s="56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</row>
    <row r="791">
      <c r="A791" s="56"/>
      <c r="B791" s="56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</row>
    <row r="792">
      <c r="A792" s="56"/>
      <c r="B792" s="56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</row>
    <row r="793">
      <c r="A793" s="56"/>
      <c r="B793" s="56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</row>
    <row r="794">
      <c r="A794" s="56"/>
      <c r="B794" s="56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</row>
    <row r="795">
      <c r="A795" s="56"/>
      <c r="B795" s="56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</row>
    <row r="796">
      <c r="A796" s="56"/>
      <c r="B796" s="56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</row>
    <row r="797">
      <c r="A797" s="56"/>
      <c r="B797" s="56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</row>
    <row r="798">
      <c r="A798" s="56"/>
      <c r="B798" s="56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</row>
    <row r="799">
      <c r="A799" s="56"/>
      <c r="B799" s="56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</row>
    <row r="800">
      <c r="A800" s="56"/>
      <c r="B800" s="56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</row>
    <row r="801">
      <c r="A801" s="56"/>
      <c r="B801" s="56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</row>
    <row r="802">
      <c r="A802" s="56"/>
      <c r="B802" s="56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</row>
    <row r="803">
      <c r="A803" s="56"/>
      <c r="B803" s="56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</row>
    <row r="804">
      <c r="A804" s="56"/>
      <c r="B804" s="56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</row>
    <row r="805">
      <c r="A805" s="56"/>
      <c r="B805" s="56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</row>
    <row r="806">
      <c r="A806" s="56"/>
      <c r="B806" s="56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</row>
    <row r="807">
      <c r="A807" s="56"/>
      <c r="B807" s="56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</row>
    <row r="808">
      <c r="A808" s="56"/>
      <c r="B808" s="56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</row>
    <row r="809">
      <c r="A809" s="56"/>
      <c r="B809" s="56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</row>
    <row r="810">
      <c r="A810" s="56"/>
      <c r="B810" s="56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</row>
    <row r="811">
      <c r="A811" s="56"/>
      <c r="B811" s="56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</row>
    <row r="812">
      <c r="A812" s="56"/>
      <c r="B812" s="56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</row>
    <row r="813">
      <c r="A813" s="56"/>
      <c r="B813" s="56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</row>
    <row r="814">
      <c r="A814" s="56"/>
      <c r="B814" s="56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</row>
    <row r="815">
      <c r="A815" s="56"/>
      <c r="B815" s="56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</row>
    <row r="816">
      <c r="A816" s="56"/>
      <c r="B816" s="56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</row>
    <row r="817">
      <c r="A817" s="56"/>
      <c r="B817" s="56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</row>
    <row r="818">
      <c r="A818" s="56"/>
      <c r="B818" s="56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</row>
    <row r="819">
      <c r="A819" s="56"/>
      <c r="B819" s="56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</row>
    <row r="820">
      <c r="A820" s="56"/>
      <c r="B820" s="56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</row>
    <row r="821">
      <c r="A821" s="56"/>
      <c r="B821" s="56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</row>
    <row r="822">
      <c r="A822" s="56"/>
      <c r="B822" s="56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</row>
    <row r="823">
      <c r="A823" s="56"/>
      <c r="B823" s="56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</row>
    <row r="824">
      <c r="A824" s="56"/>
      <c r="B824" s="56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</row>
    <row r="825">
      <c r="A825" s="56"/>
      <c r="B825" s="56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</row>
    <row r="826">
      <c r="A826" s="56"/>
      <c r="B826" s="56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</row>
    <row r="827">
      <c r="A827" s="56"/>
      <c r="B827" s="56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</row>
    <row r="828">
      <c r="A828" s="56"/>
      <c r="B828" s="56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</row>
    <row r="829">
      <c r="A829" s="56"/>
      <c r="B829" s="56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</row>
    <row r="830">
      <c r="A830" s="56"/>
      <c r="B830" s="56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</row>
    <row r="831">
      <c r="A831" s="56"/>
      <c r="B831" s="56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</row>
    <row r="832">
      <c r="A832" s="56"/>
      <c r="B832" s="56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</row>
    <row r="833">
      <c r="A833" s="56"/>
      <c r="B833" s="56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</row>
    <row r="834">
      <c r="A834" s="56"/>
      <c r="B834" s="56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</row>
    <row r="835">
      <c r="A835" s="56"/>
      <c r="B835" s="56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</row>
    <row r="836">
      <c r="A836" s="56"/>
      <c r="B836" s="56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</row>
    <row r="837">
      <c r="A837" s="56"/>
      <c r="B837" s="56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</row>
    <row r="838">
      <c r="A838" s="56"/>
      <c r="B838" s="56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</row>
    <row r="839">
      <c r="A839" s="56"/>
      <c r="B839" s="56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</row>
    <row r="840">
      <c r="A840" s="56"/>
      <c r="B840" s="56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</row>
    <row r="841">
      <c r="A841" s="56"/>
      <c r="B841" s="56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</row>
    <row r="842">
      <c r="A842" s="56"/>
      <c r="B842" s="56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</row>
    <row r="843">
      <c r="A843" s="56"/>
      <c r="B843" s="56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</row>
    <row r="844">
      <c r="A844" s="56"/>
      <c r="B844" s="56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</row>
    <row r="845">
      <c r="A845" s="56"/>
      <c r="B845" s="56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</row>
    <row r="846">
      <c r="A846" s="56"/>
      <c r="B846" s="56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</row>
    <row r="847">
      <c r="A847" s="56"/>
      <c r="B847" s="56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</row>
    <row r="848">
      <c r="A848" s="56"/>
      <c r="B848" s="56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</row>
    <row r="849">
      <c r="A849" s="56"/>
      <c r="B849" s="56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</row>
    <row r="850">
      <c r="A850" s="56"/>
      <c r="B850" s="56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</row>
    <row r="851">
      <c r="A851" s="56"/>
      <c r="B851" s="56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</row>
    <row r="852">
      <c r="A852" s="56"/>
      <c r="B852" s="56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</row>
    <row r="853">
      <c r="A853" s="56"/>
      <c r="B853" s="56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</row>
    <row r="854">
      <c r="A854" s="56"/>
      <c r="B854" s="56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</row>
    <row r="855">
      <c r="A855" s="56"/>
      <c r="B855" s="56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</row>
    <row r="856">
      <c r="A856" s="56"/>
      <c r="B856" s="56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</row>
    <row r="857">
      <c r="A857" s="56"/>
      <c r="B857" s="56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</row>
    <row r="858">
      <c r="A858" s="56"/>
      <c r="B858" s="56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</row>
    <row r="859">
      <c r="A859" s="56"/>
      <c r="B859" s="56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</row>
    <row r="860">
      <c r="A860" s="56"/>
      <c r="B860" s="56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</row>
    <row r="861">
      <c r="A861" s="56"/>
      <c r="B861" s="56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</row>
    <row r="862">
      <c r="A862" s="56"/>
      <c r="B862" s="56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</row>
    <row r="863">
      <c r="A863" s="56"/>
      <c r="B863" s="56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</row>
    <row r="864">
      <c r="A864" s="56"/>
      <c r="B864" s="56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</row>
    <row r="865">
      <c r="A865" s="56"/>
      <c r="B865" s="56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</row>
    <row r="866">
      <c r="A866" s="56"/>
      <c r="B866" s="56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</row>
    <row r="867">
      <c r="A867" s="56"/>
      <c r="B867" s="56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</row>
    <row r="868">
      <c r="A868" s="56"/>
      <c r="B868" s="56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</row>
    <row r="869">
      <c r="A869" s="56"/>
      <c r="B869" s="56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</row>
    <row r="870">
      <c r="A870" s="56"/>
      <c r="B870" s="56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</row>
    <row r="871">
      <c r="A871" s="56"/>
      <c r="B871" s="56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</row>
    <row r="872">
      <c r="A872" s="56"/>
      <c r="B872" s="56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</row>
    <row r="873">
      <c r="A873" s="56"/>
      <c r="B873" s="56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</row>
    <row r="874">
      <c r="A874" s="56"/>
      <c r="B874" s="56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</row>
    <row r="875">
      <c r="A875" s="56"/>
      <c r="B875" s="56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</row>
    <row r="876">
      <c r="A876" s="56"/>
      <c r="B876" s="56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</row>
    <row r="877">
      <c r="A877" s="56"/>
      <c r="B877" s="56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</row>
    <row r="878">
      <c r="A878" s="56"/>
      <c r="B878" s="56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</row>
    <row r="879">
      <c r="A879" s="56"/>
      <c r="B879" s="56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</row>
    <row r="880">
      <c r="A880" s="56"/>
      <c r="B880" s="56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</row>
    <row r="881">
      <c r="A881" s="56"/>
      <c r="B881" s="56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</row>
    <row r="882">
      <c r="A882" s="56"/>
      <c r="B882" s="56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</row>
    <row r="883">
      <c r="A883" s="56"/>
      <c r="B883" s="56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</row>
    <row r="884">
      <c r="A884" s="56"/>
      <c r="B884" s="56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</row>
    <row r="885">
      <c r="A885" s="56"/>
      <c r="B885" s="56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</row>
    <row r="886">
      <c r="A886" s="56"/>
      <c r="B886" s="56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</row>
    <row r="887">
      <c r="A887" s="56"/>
      <c r="B887" s="56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</row>
    <row r="888">
      <c r="A888" s="56"/>
      <c r="B888" s="56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</row>
    <row r="889">
      <c r="A889" s="56"/>
      <c r="B889" s="56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</row>
    <row r="890">
      <c r="A890" s="56"/>
      <c r="B890" s="56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</row>
    <row r="891">
      <c r="A891" s="56"/>
      <c r="B891" s="56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</row>
    <row r="892">
      <c r="A892" s="56"/>
      <c r="B892" s="56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</row>
    <row r="893">
      <c r="A893" s="56"/>
      <c r="B893" s="56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</row>
    <row r="894">
      <c r="A894" s="56"/>
      <c r="B894" s="56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</row>
    <row r="895">
      <c r="A895" s="56"/>
      <c r="B895" s="56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</row>
    <row r="896">
      <c r="A896" s="56"/>
      <c r="B896" s="56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</row>
    <row r="897">
      <c r="A897" s="56"/>
      <c r="B897" s="56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</row>
    <row r="898">
      <c r="A898" s="56"/>
      <c r="B898" s="56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</row>
    <row r="899">
      <c r="A899" s="56"/>
      <c r="B899" s="56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</row>
    <row r="900">
      <c r="A900" s="56"/>
      <c r="B900" s="56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</row>
    <row r="901">
      <c r="A901" s="56"/>
      <c r="B901" s="56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</row>
    <row r="902">
      <c r="A902" s="56"/>
      <c r="B902" s="56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</row>
    <row r="903">
      <c r="A903" s="56"/>
      <c r="B903" s="56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</row>
    <row r="904">
      <c r="A904" s="56"/>
      <c r="B904" s="56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</row>
    <row r="905">
      <c r="A905" s="56"/>
      <c r="B905" s="56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</row>
    <row r="906">
      <c r="A906" s="56"/>
      <c r="B906" s="56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</row>
    <row r="907">
      <c r="A907" s="56"/>
      <c r="B907" s="56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</row>
    <row r="908">
      <c r="A908" s="56"/>
      <c r="B908" s="56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</row>
    <row r="909">
      <c r="A909" s="56"/>
      <c r="B909" s="56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</row>
    <row r="910">
      <c r="A910" s="56"/>
      <c r="B910" s="56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</row>
    <row r="911">
      <c r="A911" s="56"/>
      <c r="B911" s="56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</row>
    <row r="912">
      <c r="A912" s="56"/>
      <c r="B912" s="56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</row>
    <row r="913">
      <c r="A913" s="56"/>
      <c r="B913" s="56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</row>
    <row r="914">
      <c r="A914" s="56"/>
      <c r="B914" s="56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</row>
    <row r="915">
      <c r="A915" s="56"/>
      <c r="B915" s="56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</row>
    <row r="916">
      <c r="A916" s="56"/>
      <c r="B916" s="56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</row>
    <row r="917">
      <c r="A917" s="56"/>
      <c r="B917" s="56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</row>
    <row r="918">
      <c r="A918" s="56"/>
      <c r="B918" s="56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</row>
    <row r="919">
      <c r="A919" s="56"/>
      <c r="B919" s="56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</row>
    <row r="920">
      <c r="A920" s="56"/>
      <c r="B920" s="56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</row>
    <row r="921">
      <c r="A921" s="56"/>
      <c r="B921" s="56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</row>
    <row r="922">
      <c r="A922" s="56"/>
      <c r="B922" s="56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</row>
    <row r="923">
      <c r="A923" s="56"/>
      <c r="B923" s="56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</row>
    <row r="924">
      <c r="A924" s="56"/>
      <c r="B924" s="56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</row>
    <row r="925">
      <c r="A925" s="56"/>
      <c r="B925" s="56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</row>
    <row r="926">
      <c r="A926" s="56"/>
      <c r="B926" s="56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</row>
    <row r="927">
      <c r="A927" s="56"/>
      <c r="B927" s="56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</row>
    <row r="928">
      <c r="A928" s="56"/>
      <c r="B928" s="56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</row>
    <row r="929">
      <c r="A929" s="56"/>
      <c r="B929" s="56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</row>
    <row r="930">
      <c r="A930" s="56"/>
      <c r="B930" s="56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</row>
    <row r="931">
      <c r="A931" s="56"/>
      <c r="B931" s="56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</row>
    <row r="932">
      <c r="A932" s="56"/>
      <c r="B932" s="56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</row>
    <row r="933">
      <c r="A933" s="56"/>
      <c r="B933" s="56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</row>
    <row r="934">
      <c r="A934" s="56"/>
      <c r="B934" s="56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</row>
    <row r="935">
      <c r="A935" s="56"/>
      <c r="B935" s="56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</row>
    <row r="936">
      <c r="A936" s="56"/>
      <c r="B936" s="56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</row>
    <row r="937">
      <c r="A937" s="56"/>
      <c r="B937" s="56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</row>
    <row r="938">
      <c r="A938" s="56"/>
      <c r="B938" s="56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</row>
    <row r="939">
      <c r="A939" s="56"/>
      <c r="B939" s="56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</row>
    <row r="940">
      <c r="A940" s="56"/>
      <c r="B940" s="56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</row>
    <row r="941">
      <c r="A941" s="56"/>
      <c r="B941" s="56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</row>
    <row r="942">
      <c r="A942" s="56"/>
      <c r="B942" s="56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</row>
    <row r="943">
      <c r="A943" s="56"/>
      <c r="B943" s="56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</row>
    <row r="944">
      <c r="A944" s="56"/>
      <c r="B944" s="56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</row>
    <row r="945">
      <c r="A945" s="56"/>
      <c r="B945" s="56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</row>
    <row r="946">
      <c r="A946" s="56"/>
      <c r="B946" s="56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</row>
    <row r="947">
      <c r="A947" s="56"/>
      <c r="B947" s="56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</row>
    <row r="948">
      <c r="A948" s="56"/>
      <c r="B948" s="56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</row>
    <row r="949">
      <c r="A949" s="56"/>
      <c r="B949" s="56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</row>
    <row r="950">
      <c r="A950" s="56"/>
      <c r="B950" s="56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</row>
    <row r="951">
      <c r="A951" s="56"/>
      <c r="B951" s="56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</row>
    <row r="952">
      <c r="A952" s="56"/>
      <c r="B952" s="56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</row>
    <row r="953">
      <c r="A953" s="56"/>
      <c r="B953" s="56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</row>
    <row r="954">
      <c r="A954" s="56"/>
      <c r="B954" s="56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</row>
    <row r="955">
      <c r="A955" s="56"/>
      <c r="B955" s="56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</row>
    <row r="956">
      <c r="A956" s="56"/>
      <c r="B956" s="56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</row>
    <row r="957">
      <c r="A957" s="56"/>
      <c r="B957" s="56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</row>
    <row r="958">
      <c r="A958" s="56"/>
      <c r="B958" s="56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</row>
    <row r="959">
      <c r="A959" s="56"/>
      <c r="B959" s="56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</row>
    <row r="960">
      <c r="A960" s="56"/>
      <c r="B960" s="56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</row>
    <row r="961">
      <c r="A961" s="56"/>
      <c r="B961" s="56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</row>
    <row r="962">
      <c r="A962" s="56"/>
      <c r="B962" s="56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</row>
    <row r="963">
      <c r="A963" s="56"/>
      <c r="B963" s="56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</row>
    <row r="964">
      <c r="A964" s="56"/>
      <c r="B964" s="56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</row>
    <row r="965">
      <c r="A965" s="56"/>
      <c r="B965" s="56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</row>
    <row r="966">
      <c r="A966" s="56"/>
      <c r="B966" s="56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</row>
    <row r="967">
      <c r="A967" s="56"/>
      <c r="B967" s="56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</row>
    <row r="968">
      <c r="A968" s="56"/>
      <c r="B968" s="56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</row>
    <row r="969">
      <c r="A969" s="56"/>
      <c r="B969" s="56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</row>
    <row r="970">
      <c r="A970" s="56"/>
      <c r="B970" s="56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</row>
    <row r="971">
      <c r="A971" s="56"/>
      <c r="B971" s="56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</row>
    <row r="972">
      <c r="A972" s="56"/>
      <c r="B972" s="56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</row>
    <row r="973">
      <c r="A973" s="56"/>
      <c r="B973" s="56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</row>
    <row r="974">
      <c r="A974" s="56"/>
      <c r="B974" s="56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</row>
    <row r="975">
      <c r="A975" s="56"/>
      <c r="B975" s="56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</row>
    <row r="976">
      <c r="A976" s="56"/>
      <c r="B976" s="56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</row>
    <row r="977">
      <c r="A977" s="56"/>
      <c r="B977" s="56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</row>
    <row r="978">
      <c r="A978" s="56"/>
      <c r="B978" s="56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</row>
    <row r="979">
      <c r="A979" s="56"/>
      <c r="B979" s="56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</row>
    <row r="980">
      <c r="A980" s="56"/>
      <c r="B980" s="56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</row>
    <row r="981">
      <c r="A981" s="56"/>
      <c r="B981" s="56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</row>
    <row r="982">
      <c r="A982" s="56"/>
      <c r="B982" s="56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</row>
    <row r="983">
      <c r="A983" s="56"/>
      <c r="B983" s="56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</row>
    <row r="984">
      <c r="A984" s="56"/>
      <c r="B984" s="56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</row>
    <row r="985">
      <c r="A985" s="56"/>
      <c r="B985" s="56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</row>
  </sheetData>
  <autoFilter ref="$A$1:$Q$80"/>
  <mergeCells count="136">
    <mergeCell ref="A20:A23"/>
    <mergeCell ref="B20:B23"/>
    <mergeCell ref="A25:A26"/>
    <mergeCell ref="B25:B26"/>
    <mergeCell ref="A27:A28"/>
    <mergeCell ref="B27:B28"/>
    <mergeCell ref="B30:B34"/>
    <mergeCell ref="A30:A34"/>
    <mergeCell ref="A36:A37"/>
    <mergeCell ref="A38:A39"/>
    <mergeCell ref="A40:A42"/>
    <mergeCell ref="B40:B42"/>
    <mergeCell ref="A43:A44"/>
    <mergeCell ref="B43:B44"/>
    <mergeCell ref="A47:A48"/>
    <mergeCell ref="B47:B48"/>
    <mergeCell ref="A49:A59"/>
    <mergeCell ref="B49:B59"/>
    <mergeCell ref="A60:A62"/>
    <mergeCell ref="B60:B62"/>
    <mergeCell ref="B63:B72"/>
    <mergeCell ref="A93:A103"/>
    <mergeCell ref="A104:A107"/>
    <mergeCell ref="A108:A110"/>
    <mergeCell ref="A111:A114"/>
    <mergeCell ref="A63:A72"/>
    <mergeCell ref="A73:A76"/>
    <mergeCell ref="A79:A80"/>
    <mergeCell ref="A81:A83"/>
    <mergeCell ref="A84:A85"/>
    <mergeCell ref="A87:A88"/>
    <mergeCell ref="A89:A90"/>
    <mergeCell ref="B104:B107"/>
    <mergeCell ref="B108:B110"/>
    <mergeCell ref="B111:B114"/>
    <mergeCell ref="B73:B76"/>
    <mergeCell ref="B79:B80"/>
    <mergeCell ref="B81:B83"/>
    <mergeCell ref="B84:B85"/>
    <mergeCell ref="B87:B88"/>
    <mergeCell ref="B89:B90"/>
    <mergeCell ref="B93:B103"/>
    <mergeCell ref="A2:A6"/>
    <mergeCell ref="B2:B6"/>
    <mergeCell ref="O2:O6"/>
    <mergeCell ref="P2:P6"/>
    <mergeCell ref="Q2:Q6"/>
    <mergeCell ref="B8:B10"/>
    <mergeCell ref="Q8:Q10"/>
    <mergeCell ref="O8:O10"/>
    <mergeCell ref="P8:P10"/>
    <mergeCell ref="O11:O13"/>
    <mergeCell ref="P11:P13"/>
    <mergeCell ref="Q11:Q13"/>
    <mergeCell ref="P14:P15"/>
    <mergeCell ref="Q14:Q15"/>
    <mergeCell ref="A8:A10"/>
    <mergeCell ref="A11:A13"/>
    <mergeCell ref="B11:B13"/>
    <mergeCell ref="A14:A15"/>
    <mergeCell ref="B14:B15"/>
    <mergeCell ref="A17:A19"/>
    <mergeCell ref="B17:B19"/>
    <mergeCell ref="O14:O15"/>
    <mergeCell ref="O17:O19"/>
    <mergeCell ref="P17:P19"/>
    <mergeCell ref="Q17:Q19"/>
    <mergeCell ref="P20:P23"/>
    <mergeCell ref="Q20:Q21"/>
    <mergeCell ref="Q22:Q23"/>
    <mergeCell ref="O20:O23"/>
    <mergeCell ref="O25:O26"/>
    <mergeCell ref="P25:P26"/>
    <mergeCell ref="Q25:Q26"/>
    <mergeCell ref="O27:O28"/>
    <mergeCell ref="P27:P28"/>
    <mergeCell ref="Q27:Q28"/>
    <mergeCell ref="B36:B37"/>
    <mergeCell ref="B38:B39"/>
    <mergeCell ref="O40:O42"/>
    <mergeCell ref="P40:P42"/>
    <mergeCell ref="Q40:Q42"/>
    <mergeCell ref="P84:P85"/>
    <mergeCell ref="Q84:Q85"/>
    <mergeCell ref="O79:O80"/>
    <mergeCell ref="P79:P80"/>
    <mergeCell ref="Q79:Q80"/>
    <mergeCell ref="O81:O83"/>
    <mergeCell ref="P81:P83"/>
    <mergeCell ref="Q81:Q83"/>
    <mergeCell ref="O84:O85"/>
    <mergeCell ref="P93:P103"/>
    <mergeCell ref="Q93:Q103"/>
    <mergeCell ref="O87:O88"/>
    <mergeCell ref="P87:P88"/>
    <mergeCell ref="Q87:Q88"/>
    <mergeCell ref="O89:O90"/>
    <mergeCell ref="P89:P90"/>
    <mergeCell ref="Q89:Q90"/>
    <mergeCell ref="O93:O103"/>
    <mergeCell ref="P38:P39"/>
    <mergeCell ref="Q38:Q39"/>
    <mergeCell ref="O30:O34"/>
    <mergeCell ref="P30:P34"/>
    <mergeCell ref="Q30:Q34"/>
    <mergeCell ref="O36:O37"/>
    <mergeCell ref="P36:P37"/>
    <mergeCell ref="Q36:Q37"/>
    <mergeCell ref="O38:O39"/>
    <mergeCell ref="P49:P59"/>
    <mergeCell ref="Q49:Q59"/>
    <mergeCell ref="O43:O44"/>
    <mergeCell ref="P43:P44"/>
    <mergeCell ref="Q43:Q44"/>
    <mergeCell ref="O47:O48"/>
    <mergeCell ref="P47:P48"/>
    <mergeCell ref="Q47:Q48"/>
    <mergeCell ref="O49:O59"/>
    <mergeCell ref="P73:P76"/>
    <mergeCell ref="Q73:Q76"/>
    <mergeCell ref="O60:O62"/>
    <mergeCell ref="P60:P62"/>
    <mergeCell ref="Q60:Q62"/>
    <mergeCell ref="O63:O72"/>
    <mergeCell ref="P63:P72"/>
    <mergeCell ref="Q63:Q72"/>
    <mergeCell ref="O73:O76"/>
    <mergeCell ref="P111:P114"/>
    <mergeCell ref="Q111:Q114"/>
    <mergeCell ref="O104:O107"/>
    <mergeCell ref="P104:P107"/>
    <mergeCell ref="Q104:Q107"/>
    <mergeCell ref="O108:O110"/>
    <mergeCell ref="P108:P110"/>
    <mergeCell ref="Q108:Q110"/>
    <mergeCell ref="O111:O114"/>
  </mergeCells>
  <hyperlinks>
    <hyperlink r:id="rId1" ref="Q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</cols>
  <sheetData>
    <row r="1">
      <c r="A1" s="58" t="s">
        <v>15</v>
      </c>
      <c r="B1" s="58" t="s">
        <v>265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>
        <v>46136.340902777774</v>
      </c>
      <c r="B2" s="61" t="s">
        <v>266</v>
      </c>
    </row>
    <row r="3">
      <c r="A3" s="60">
        <v>46136.340902777774</v>
      </c>
      <c r="B3" s="61" t="s">
        <v>267</v>
      </c>
    </row>
    <row r="4">
      <c r="A4" s="60">
        <v>46136.34091435185</v>
      </c>
      <c r="B4" s="61" t="s">
        <v>268</v>
      </c>
    </row>
    <row r="5">
      <c r="A5" s="60">
        <v>46136.34091435185</v>
      </c>
      <c r="B5" s="61" t="s">
        <v>269</v>
      </c>
    </row>
    <row r="6">
      <c r="A6" s="60">
        <v>46136.34091435185</v>
      </c>
      <c r="B6" s="61" t="s">
        <v>270</v>
      </c>
    </row>
    <row r="7">
      <c r="A7" s="60">
        <v>46136.34092592593</v>
      </c>
      <c r="B7" s="61" t="s">
        <v>271</v>
      </c>
    </row>
    <row r="8">
      <c r="A8" s="60">
        <v>46136.34092592593</v>
      </c>
      <c r="B8" s="61" t="s">
        <v>272</v>
      </c>
    </row>
    <row r="9">
      <c r="A9" s="60">
        <v>46136.34092592593</v>
      </c>
      <c r="B9" s="61" t="s">
        <v>273</v>
      </c>
    </row>
    <row r="10">
      <c r="A10" s="60">
        <v>46136.3409375</v>
      </c>
      <c r="B10" s="61" t="s">
        <v>274</v>
      </c>
    </row>
    <row r="11">
      <c r="A11" s="60">
        <v>46136.3409375</v>
      </c>
      <c r="B11" s="61" t="s">
        <v>275</v>
      </c>
    </row>
    <row r="12">
      <c r="A12" s="60">
        <v>46136.340949074074</v>
      </c>
      <c r="B12" s="61" t="s">
        <v>276</v>
      </c>
    </row>
    <row r="13">
      <c r="A13" s="60">
        <v>46136.340949074074</v>
      </c>
      <c r="B13" s="61" t="s">
        <v>277</v>
      </c>
    </row>
    <row r="14">
      <c r="A14" s="60">
        <v>46136.34096064815</v>
      </c>
      <c r="B14" s="61" t="s">
        <v>278</v>
      </c>
    </row>
    <row r="15">
      <c r="A15" s="60">
        <v>46136.34096064815</v>
      </c>
      <c r="B15" s="61" t="s">
        <v>279</v>
      </c>
    </row>
    <row r="16">
      <c r="A16" s="60">
        <v>46136.34097222222</v>
      </c>
      <c r="B16" s="61" t="s">
        <v>280</v>
      </c>
    </row>
    <row r="17">
      <c r="A17" s="60">
        <v>46136.34097222222</v>
      </c>
      <c r="B17" s="61" t="s">
        <v>281</v>
      </c>
    </row>
    <row r="18">
      <c r="A18" s="60">
        <v>46136.3409837963</v>
      </c>
      <c r="B18" s="61" t="s">
        <v>282</v>
      </c>
    </row>
    <row r="19">
      <c r="A19" s="60">
        <v>46136.34100694444</v>
      </c>
      <c r="B19" s="61" t="s">
        <v>283</v>
      </c>
    </row>
    <row r="20">
      <c r="A20" s="60">
        <v>46136.34101851852</v>
      </c>
      <c r="B20" s="61" t="s">
        <v>284</v>
      </c>
    </row>
    <row r="21">
      <c r="A21" s="60">
        <v>46136.341527777775</v>
      </c>
      <c r="B21" s="61" t="s">
        <v>266</v>
      </c>
    </row>
    <row r="22">
      <c r="A22" s="60">
        <v>46136.34153935185</v>
      </c>
      <c r="B22" s="61" t="s">
        <v>267</v>
      </c>
    </row>
    <row r="23">
      <c r="A23" s="60">
        <v>46136.34153935185</v>
      </c>
      <c r="B23" s="61" t="s">
        <v>285</v>
      </c>
    </row>
    <row r="24">
      <c r="A24" s="60">
        <v>46136.34153935185</v>
      </c>
      <c r="B24" s="61" t="s">
        <v>286</v>
      </c>
    </row>
    <row r="25">
      <c r="A25" s="60">
        <v>46136.34153935185</v>
      </c>
      <c r="B25" s="61" t="s">
        <v>270</v>
      </c>
    </row>
    <row r="26">
      <c r="A26" s="60">
        <v>46136.34153935185</v>
      </c>
      <c r="B26" s="61" t="s">
        <v>287</v>
      </c>
    </row>
    <row r="27">
      <c r="A27" s="60">
        <v>46136.34155092593</v>
      </c>
      <c r="B27" s="61" t="s">
        <v>272</v>
      </c>
    </row>
    <row r="28">
      <c r="A28" s="60">
        <v>46136.3415625</v>
      </c>
      <c r="B28" s="61" t="s">
        <v>288</v>
      </c>
    </row>
    <row r="29">
      <c r="A29" s="60">
        <v>46136.34162037037</v>
      </c>
      <c r="B29" s="61" t="s">
        <v>274</v>
      </c>
    </row>
    <row r="30">
      <c r="A30" s="60">
        <v>46136.34162037037</v>
      </c>
      <c r="B30" s="61" t="s">
        <v>289</v>
      </c>
    </row>
    <row r="31">
      <c r="A31" s="60">
        <v>46136.341631944444</v>
      </c>
      <c r="B31" s="61" t="s">
        <v>276</v>
      </c>
    </row>
    <row r="32">
      <c r="A32" s="60">
        <v>46136.341631944444</v>
      </c>
      <c r="B32" s="61" t="s">
        <v>290</v>
      </c>
    </row>
    <row r="33">
      <c r="A33" s="60">
        <v>46136.341631944444</v>
      </c>
      <c r="B33" s="61" t="s">
        <v>278</v>
      </c>
    </row>
    <row r="34">
      <c r="A34" s="60">
        <v>46136.34164351852</v>
      </c>
      <c r="B34" s="61" t="s">
        <v>279</v>
      </c>
    </row>
    <row r="35">
      <c r="A35" s="60">
        <v>46136.34164351852</v>
      </c>
      <c r="B35" s="61" t="s">
        <v>280</v>
      </c>
    </row>
    <row r="36">
      <c r="A36" s="60">
        <v>46136.34164351852</v>
      </c>
      <c r="B36" s="61" t="s">
        <v>291</v>
      </c>
    </row>
    <row r="37">
      <c r="A37" s="60">
        <v>46136.34164351852</v>
      </c>
      <c r="B37" s="61" t="s">
        <v>282</v>
      </c>
    </row>
    <row r="38">
      <c r="A38" s="60">
        <v>46136.34166666667</v>
      </c>
      <c r="B38" s="61" t="s">
        <v>292</v>
      </c>
    </row>
    <row r="39">
      <c r="A39" s="60">
        <v>46136.341678240744</v>
      </c>
      <c r="B39" s="61" t="s">
        <v>293</v>
      </c>
    </row>
    <row r="40">
      <c r="A40" s="60">
        <v>46136.34270833333</v>
      </c>
      <c r="B40" s="61" t="s">
        <v>266</v>
      </c>
    </row>
    <row r="41">
      <c r="A41" s="60">
        <v>46136.34271990741</v>
      </c>
      <c r="B41" s="61" t="s">
        <v>267</v>
      </c>
    </row>
    <row r="42">
      <c r="A42" s="60">
        <v>46136.34271990741</v>
      </c>
      <c r="B42" s="61" t="s">
        <v>294</v>
      </c>
    </row>
    <row r="43">
      <c r="A43" s="60">
        <v>46136.34271990741</v>
      </c>
      <c r="B43" s="61" t="s">
        <v>286</v>
      </c>
    </row>
    <row r="44">
      <c r="A44" s="60">
        <v>46136.34271990741</v>
      </c>
      <c r="B44" s="61" t="s">
        <v>270</v>
      </c>
    </row>
    <row r="45">
      <c r="A45" s="60">
        <v>46136.34273148148</v>
      </c>
      <c r="B45" s="61" t="s">
        <v>295</v>
      </c>
    </row>
    <row r="46">
      <c r="A46" s="60">
        <v>46136.34273148148</v>
      </c>
      <c r="B46" s="61" t="s">
        <v>272</v>
      </c>
    </row>
    <row r="47">
      <c r="A47" s="60">
        <v>46136.34273148148</v>
      </c>
      <c r="B47" s="61" t="s">
        <v>296</v>
      </c>
    </row>
    <row r="48">
      <c r="A48" s="60">
        <v>46136.34274305555</v>
      </c>
      <c r="B48" s="61" t="s">
        <v>274</v>
      </c>
    </row>
    <row r="49">
      <c r="A49" s="60">
        <v>46136.34274305555</v>
      </c>
      <c r="B49" s="61" t="s">
        <v>297</v>
      </c>
    </row>
    <row r="50">
      <c r="A50" s="60">
        <v>46136.34274305555</v>
      </c>
      <c r="B50" s="61" t="s">
        <v>276</v>
      </c>
    </row>
    <row r="51">
      <c r="A51" s="60">
        <v>46136.34274305555</v>
      </c>
      <c r="B51" s="61" t="s">
        <v>298</v>
      </c>
    </row>
    <row r="52">
      <c r="A52" s="60">
        <v>46136.34275462963</v>
      </c>
      <c r="B52" s="61" t="s">
        <v>278</v>
      </c>
    </row>
    <row r="53">
      <c r="A53" s="60">
        <v>46136.34275462963</v>
      </c>
      <c r="B53" s="61" t="s">
        <v>279</v>
      </c>
    </row>
    <row r="54">
      <c r="A54" s="60">
        <v>46136.34275462963</v>
      </c>
      <c r="B54" s="61" t="s">
        <v>280</v>
      </c>
    </row>
    <row r="55">
      <c r="A55" s="60">
        <v>46136.342777777776</v>
      </c>
      <c r="B55" s="61" t="s">
        <v>299</v>
      </c>
    </row>
    <row r="56">
      <c r="A56" s="60">
        <v>46136.342777777776</v>
      </c>
      <c r="B56" s="61" t="s">
        <v>282</v>
      </c>
    </row>
    <row r="57">
      <c r="A57" s="60">
        <v>46136.34280092592</v>
      </c>
      <c r="B57" s="61" t="s">
        <v>300</v>
      </c>
    </row>
    <row r="58">
      <c r="A58" s="60">
        <v>46136.342824074076</v>
      </c>
      <c r="B58" s="61" t="s">
        <v>301</v>
      </c>
    </row>
    <row r="59">
      <c r="A59" s="60">
        <v>46136.38306712963</v>
      </c>
      <c r="B59" s="61" t="s">
        <v>266</v>
      </c>
    </row>
    <row r="60">
      <c r="A60" s="60">
        <v>46136.3830787037</v>
      </c>
      <c r="B60" s="61" t="s">
        <v>267</v>
      </c>
    </row>
    <row r="61">
      <c r="A61" s="60">
        <v>46136.3830787037</v>
      </c>
      <c r="B61" s="61" t="s">
        <v>302</v>
      </c>
    </row>
    <row r="62">
      <c r="A62" s="60">
        <v>46136.3830787037</v>
      </c>
      <c r="B62" s="61" t="s">
        <v>286</v>
      </c>
    </row>
    <row r="63">
      <c r="A63" s="60">
        <v>46136.3830787037</v>
      </c>
      <c r="B63" s="61" t="s">
        <v>270</v>
      </c>
    </row>
    <row r="64">
      <c r="A64" s="60">
        <v>46136.38309027778</v>
      </c>
      <c r="B64" s="61" t="s">
        <v>303</v>
      </c>
    </row>
    <row r="65">
      <c r="A65" s="60">
        <v>46136.38309027778</v>
      </c>
      <c r="B65" s="61" t="s">
        <v>304</v>
      </c>
    </row>
    <row r="66">
      <c r="A66" s="60">
        <v>46136.38309027778</v>
      </c>
      <c r="B66" s="61" t="s">
        <v>305</v>
      </c>
    </row>
    <row r="67">
      <c r="A67" s="60">
        <v>46136.38309027778</v>
      </c>
      <c r="B67" s="61" t="s">
        <v>274</v>
      </c>
    </row>
    <row r="68">
      <c r="A68" s="60">
        <v>46136.38309027778</v>
      </c>
      <c r="B68" s="61" t="s">
        <v>306</v>
      </c>
    </row>
    <row r="69">
      <c r="A69" s="60">
        <v>46136.383101851854</v>
      </c>
      <c r="B69" s="61" t="s">
        <v>307</v>
      </c>
    </row>
    <row r="70">
      <c r="A70" s="60">
        <v>46136.383101851854</v>
      </c>
      <c r="B70" s="61" t="s">
        <v>308</v>
      </c>
    </row>
    <row r="71">
      <c r="A71" s="60">
        <v>46136.383101851854</v>
      </c>
      <c r="B71" s="61" t="s">
        <v>278</v>
      </c>
    </row>
    <row r="72">
      <c r="A72" s="60">
        <v>46136.38311342592</v>
      </c>
      <c r="B72" s="61" t="s">
        <v>279</v>
      </c>
    </row>
    <row r="73">
      <c r="A73" s="60">
        <v>46136.38311342592</v>
      </c>
      <c r="B73" s="61" t="s">
        <v>280</v>
      </c>
    </row>
    <row r="74">
      <c r="A74" s="60">
        <v>46136.38311342592</v>
      </c>
      <c r="B74" s="61" t="s">
        <v>309</v>
      </c>
    </row>
    <row r="75">
      <c r="A75" s="60">
        <v>46136.38311342592</v>
      </c>
      <c r="B75" s="61" t="s">
        <v>282</v>
      </c>
    </row>
    <row r="76">
      <c r="A76" s="60">
        <v>46136.38313657408</v>
      </c>
      <c r="B76" s="61" t="s">
        <v>310</v>
      </c>
    </row>
    <row r="77">
      <c r="A77" s="60">
        <v>46136.38314814815</v>
      </c>
      <c r="B77" s="61" t="s">
        <v>311</v>
      </c>
    </row>
    <row r="78">
      <c r="A78" s="60">
        <v>46136.384884259256</v>
      </c>
      <c r="B78" s="61" t="s">
        <v>266</v>
      </c>
    </row>
    <row r="79">
      <c r="A79" s="60">
        <v>46136.384884259256</v>
      </c>
      <c r="B79" s="61" t="s">
        <v>267</v>
      </c>
    </row>
    <row r="80">
      <c r="A80" s="60">
        <v>46136.38489583333</v>
      </c>
      <c r="B80" s="61" t="s">
        <v>312</v>
      </c>
    </row>
    <row r="81">
      <c r="A81" s="60">
        <v>46136.38489583333</v>
      </c>
      <c r="B81" s="61" t="s">
        <v>286</v>
      </c>
    </row>
    <row r="82">
      <c r="A82" s="60">
        <v>46136.38489583333</v>
      </c>
      <c r="B82" s="61" t="s">
        <v>270</v>
      </c>
    </row>
    <row r="83">
      <c r="A83" s="60">
        <v>46136.38489583333</v>
      </c>
      <c r="B83" s="61" t="s">
        <v>303</v>
      </c>
    </row>
    <row r="84">
      <c r="A84" s="60">
        <v>46136.38490740741</v>
      </c>
      <c r="B84" s="61" t="s">
        <v>304</v>
      </c>
    </row>
    <row r="85">
      <c r="A85" s="60">
        <v>46136.38490740741</v>
      </c>
      <c r="B85" s="61" t="s">
        <v>305</v>
      </c>
    </row>
    <row r="86">
      <c r="A86" s="60">
        <v>46136.38490740741</v>
      </c>
      <c r="B86" s="61" t="s">
        <v>274</v>
      </c>
    </row>
    <row r="87">
      <c r="A87" s="60">
        <v>46136.38490740741</v>
      </c>
      <c r="B87" s="61" t="s">
        <v>306</v>
      </c>
    </row>
    <row r="88">
      <c r="A88" s="60">
        <v>46136.38490740741</v>
      </c>
      <c r="B88" s="61" t="s">
        <v>307</v>
      </c>
    </row>
    <row r="89">
      <c r="A89" s="60">
        <v>46136.38491898148</v>
      </c>
      <c r="B89" s="61" t="s">
        <v>308</v>
      </c>
    </row>
    <row r="90">
      <c r="A90" s="60">
        <v>46136.38491898148</v>
      </c>
      <c r="B90" s="61" t="s">
        <v>278</v>
      </c>
    </row>
    <row r="91">
      <c r="A91" s="60">
        <v>46136.38491898148</v>
      </c>
      <c r="B91" s="61" t="s">
        <v>279</v>
      </c>
    </row>
    <row r="92">
      <c r="A92" s="60">
        <v>46136.384930555556</v>
      </c>
      <c r="B92" s="61" t="s">
        <v>280</v>
      </c>
    </row>
    <row r="93">
      <c r="A93" s="60">
        <v>46136.384930555556</v>
      </c>
      <c r="B93" s="61" t="s">
        <v>309</v>
      </c>
    </row>
    <row r="94">
      <c r="A94" s="60">
        <v>46136.384930555556</v>
      </c>
      <c r="B94" s="61" t="s">
        <v>282</v>
      </c>
    </row>
    <row r="95">
      <c r="A95" s="60">
        <v>46136.3849537037</v>
      </c>
      <c r="B95" s="61" t="s">
        <v>313</v>
      </c>
    </row>
    <row r="96">
      <c r="A96" s="60">
        <v>46136.3849537037</v>
      </c>
      <c r="B96" s="61" t="s">
        <v>311</v>
      </c>
    </row>
    <row r="97">
      <c r="A97" s="60">
        <v>46137.340787037036</v>
      </c>
      <c r="B97" s="61" t="s">
        <v>266</v>
      </c>
    </row>
    <row r="98">
      <c r="A98" s="60">
        <v>46137.340787037036</v>
      </c>
      <c r="B98" s="61" t="s">
        <v>267</v>
      </c>
    </row>
    <row r="99">
      <c r="A99" s="60">
        <v>46137.34079861111</v>
      </c>
      <c r="B99" s="61" t="s">
        <v>314</v>
      </c>
    </row>
    <row r="100">
      <c r="A100" s="60">
        <v>46137.34079861111</v>
      </c>
      <c r="B100" s="61" t="s">
        <v>286</v>
      </c>
    </row>
    <row r="101">
      <c r="A101" s="60">
        <v>46137.34079861111</v>
      </c>
      <c r="B101" s="61" t="s">
        <v>270</v>
      </c>
    </row>
    <row r="102">
      <c r="A102" s="60">
        <v>46137.34079861111</v>
      </c>
      <c r="B102" s="61" t="s">
        <v>315</v>
      </c>
    </row>
    <row r="103">
      <c r="A103" s="60">
        <v>46137.34081018518</v>
      </c>
      <c r="B103" s="61" t="s">
        <v>272</v>
      </c>
    </row>
    <row r="104">
      <c r="A104" s="60">
        <v>46137.34081018518</v>
      </c>
      <c r="B104" s="61" t="s">
        <v>316</v>
      </c>
    </row>
    <row r="105">
      <c r="A105" s="60">
        <v>46137.34081018518</v>
      </c>
      <c r="B105" s="61" t="s">
        <v>274</v>
      </c>
    </row>
    <row r="106">
      <c r="A106" s="60">
        <v>46137.34081018518</v>
      </c>
      <c r="B106" s="61" t="s">
        <v>317</v>
      </c>
    </row>
    <row r="107">
      <c r="A107" s="60">
        <v>46137.34081018518</v>
      </c>
      <c r="B107" s="61" t="s">
        <v>276</v>
      </c>
    </row>
    <row r="108">
      <c r="A108" s="60">
        <v>46137.34082175926</v>
      </c>
      <c r="B108" s="61" t="s">
        <v>318</v>
      </c>
    </row>
    <row r="109">
      <c r="A109" s="60">
        <v>46137.34082175926</v>
      </c>
      <c r="B109" s="61" t="s">
        <v>278</v>
      </c>
    </row>
    <row r="110">
      <c r="A110" s="60">
        <v>46137.34082175926</v>
      </c>
      <c r="B110" s="61" t="s">
        <v>279</v>
      </c>
    </row>
    <row r="111">
      <c r="A111" s="60">
        <v>46137.34082175926</v>
      </c>
      <c r="B111" s="61" t="s">
        <v>280</v>
      </c>
    </row>
    <row r="112">
      <c r="A112" s="60">
        <v>46137.340833333335</v>
      </c>
      <c r="B112" s="61" t="s">
        <v>319</v>
      </c>
    </row>
    <row r="113">
      <c r="A113" s="60">
        <v>46137.340833333335</v>
      </c>
      <c r="B113" s="61" t="s">
        <v>282</v>
      </c>
    </row>
    <row r="114">
      <c r="A114" s="60">
        <v>46137.340844907405</v>
      </c>
      <c r="B114" s="61" t="s">
        <v>320</v>
      </c>
    </row>
    <row r="115">
      <c r="A115" s="60">
        <v>46137.34085648148</v>
      </c>
      <c r="B115" s="61" t="s">
        <v>311</v>
      </c>
    </row>
    <row r="116">
      <c r="A116" s="60">
        <v>46138.62268518518</v>
      </c>
      <c r="B116" s="61" t="s">
        <v>266</v>
      </c>
    </row>
    <row r="117">
      <c r="A117" s="60">
        <v>46138.62268518518</v>
      </c>
      <c r="B117" s="61" t="s">
        <v>267</v>
      </c>
    </row>
    <row r="118">
      <c r="A118" s="60">
        <v>46138.62268518518</v>
      </c>
      <c r="B118" s="61" t="s">
        <v>321</v>
      </c>
    </row>
    <row r="119">
      <c r="A119" s="60">
        <v>46138.62269675926</v>
      </c>
      <c r="B119" s="61" t="s">
        <v>269</v>
      </c>
    </row>
    <row r="120">
      <c r="A120" s="60">
        <v>46138.62269675926</v>
      </c>
      <c r="B120" s="61" t="s">
        <v>270</v>
      </c>
    </row>
    <row r="121">
      <c r="A121" s="60">
        <v>46138.622708333336</v>
      </c>
      <c r="B121" s="61" t="s">
        <v>322</v>
      </c>
    </row>
    <row r="122">
      <c r="A122" s="60">
        <v>46138.622708333336</v>
      </c>
      <c r="B122" s="61" t="s">
        <v>272</v>
      </c>
    </row>
    <row r="123">
      <c r="A123" s="60">
        <v>46138.622708333336</v>
      </c>
      <c r="B123" s="61" t="s">
        <v>323</v>
      </c>
    </row>
    <row r="124">
      <c r="A124" s="60">
        <v>46138.622708333336</v>
      </c>
      <c r="B124" s="61" t="s">
        <v>274</v>
      </c>
    </row>
    <row r="125">
      <c r="A125" s="60">
        <v>46138.622708333336</v>
      </c>
      <c r="B125" s="61" t="s">
        <v>324</v>
      </c>
    </row>
    <row r="126">
      <c r="A126" s="60">
        <v>46138.622719907406</v>
      </c>
      <c r="B126" s="61" t="s">
        <v>276</v>
      </c>
    </row>
    <row r="127">
      <c r="A127" s="60">
        <v>46138.622719907406</v>
      </c>
      <c r="B127" s="61" t="s">
        <v>325</v>
      </c>
    </row>
    <row r="128">
      <c r="A128" s="60">
        <v>46138.622719907406</v>
      </c>
      <c r="B128" s="61" t="s">
        <v>278</v>
      </c>
    </row>
    <row r="129">
      <c r="A129" s="60">
        <v>46138.622719907406</v>
      </c>
      <c r="B129" s="61" t="s">
        <v>279</v>
      </c>
    </row>
    <row r="130">
      <c r="A130" s="60">
        <v>46138.62273148148</v>
      </c>
      <c r="B130" s="61" t="s">
        <v>280</v>
      </c>
    </row>
    <row r="131">
      <c r="A131" s="60">
        <v>46138.62273148148</v>
      </c>
      <c r="B131" s="61" t="s">
        <v>326</v>
      </c>
    </row>
    <row r="132">
      <c r="A132" s="60">
        <v>46138.62273148148</v>
      </c>
      <c r="B132" s="61" t="s">
        <v>282</v>
      </c>
    </row>
    <row r="133">
      <c r="A133" s="60">
        <v>46138.62275462963</v>
      </c>
      <c r="B133" s="61" t="s">
        <v>327</v>
      </c>
    </row>
    <row r="134">
      <c r="A134" s="60">
        <v>46138.62275462963</v>
      </c>
      <c r="B134" s="61" t="s">
        <v>328</v>
      </c>
    </row>
    <row r="135">
      <c r="A135" s="60">
        <v>46139.70450231482</v>
      </c>
      <c r="B135" s="61" t="s">
        <v>266</v>
      </c>
    </row>
    <row r="136">
      <c r="A136" s="60">
        <v>46139.70450231482</v>
      </c>
      <c r="B136" s="61" t="s">
        <v>267</v>
      </c>
    </row>
    <row r="137">
      <c r="A137" s="60">
        <v>46139.704513888886</v>
      </c>
      <c r="B137" s="61" t="s">
        <v>329</v>
      </c>
    </row>
    <row r="138">
      <c r="A138" s="60">
        <v>46139.70452546296</v>
      </c>
      <c r="B138" s="61" t="s">
        <v>286</v>
      </c>
    </row>
    <row r="139">
      <c r="A139" s="60">
        <v>46139.70452546296</v>
      </c>
      <c r="B139" s="61" t="s">
        <v>270</v>
      </c>
    </row>
    <row r="140">
      <c r="A140" s="60">
        <v>46139.70452546296</v>
      </c>
      <c r="B140" s="61" t="s">
        <v>330</v>
      </c>
    </row>
    <row r="141">
      <c r="A141" s="60">
        <v>46139.70453703704</v>
      </c>
      <c r="B141" s="61" t="s">
        <v>272</v>
      </c>
    </row>
    <row r="142">
      <c r="A142" s="60">
        <v>46139.70453703704</v>
      </c>
      <c r="B142" s="61" t="s">
        <v>331</v>
      </c>
    </row>
    <row r="143">
      <c r="A143" s="60">
        <v>46139.70453703704</v>
      </c>
      <c r="B143" s="61" t="s">
        <v>274</v>
      </c>
    </row>
    <row r="144">
      <c r="A144" s="60">
        <v>46139.70454861111</v>
      </c>
      <c r="B144" s="61" t="s">
        <v>332</v>
      </c>
    </row>
    <row r="145">
      <c r="A145" s="60">
        <v>46139.70454861111</v>
      </c>
      <c r="B145" s="61" t="s">
        <v>276</v>
      </c>
    </row>
    <row r="146">
      <c r="A146" s="60">
        <v>46139.70454861111</v>
      </c>
      <c r="B146" s="61" t="s">
        <v>333</v>
      </c>
    </row>
    <row r="147">
      <c r="A147" s="60">
        <v>46139.70454861111</v>
      </c>
      <c r="B147" s="61" t="s">
        <v>278</v>
      </c>
    </row>
    <row r="148">
      <c r="A148" s="60">
        <v>46139.704560185186</v>
      </c>
      <c r="B148" s="61" t="s">
        <v>279</v>
      </c>
    </row>
    <row r="149">
      <c r="A149" s="60">
        <v>46139.70457175926</v>
      </c>
      <c r="B149" s="61" t="s">
        <v>280</v>
      </c>
    </row>
    <row r="150">
      <c r="A150" s="60">
        <v>46139.70457175926</v>
      </c>
      <c r="B150" s="61" t="s">
        <v>334</v>
      </c>
    </row>
    <row r="151">
      <c r="A151" s="60">
        <v>46139.70458333333</v>
      </c>
      <c r="B151" s="61" t="s">
        <v>282</v>
      </c>
    </row>
    <row r="152">
      <c r="A152" s="60">
        <v>46139.70460648148</v>
      </c>
      <c r="B152" s="61" t="s">
        <v>335</v>
      </c>
    </row>
    <row r="153">
      <c r="A153" s="60">
        <v>46139.70462962963</v>
      </c>
      <c r="B153" s="61" t="s">
        <v>336</v>
      </c>
    </row>
    <row r="154">
      <c r="A154" s="60">
        <v>46140.316342592596</v>
      </c>
      <c r="B154" s="61" t="s">
        <v>266</v>
      </c>
    </row>
    <row r="155">
      <c r="A155" s="60">
        <v>46140.316354166665</v>
      </c>
      <c r="B155" s="61" t="s">
        <v>267</v>
      </c>
    </row>
    <row r="156">
      <c r="A156" s="60">
        <v>46140.316354166665</v>
      </c>
      <c r="B156" s="61" t="s">
        <v>337</v>
      </c>
    </row>
    <row r="157">
      <c r="A157" s="60">
        <v>46140.31636574074</v>
      </c>
      <c r="B157" s="61" t="s">
        <v>286</v>
      </c>
    </row>
    <row r="158">
      <c r="A158" s="60">
        <v>46140.31636574074</v>
      </c>
      <c r="B158" s="61" t="s">
        <v>270</v>
      </c>
    </row>
    <row r="159">
      <c r="A159" s="60">
        <v>46140.31637731481</v>
      </c>
      <c r="B159" s="61" t="s">
        <v>338</v>
      </c>
    </row>
    <row r="160">
      <c r="A160" s="60">
        <v>46140.31637731481</v>
      </c>
      <c r="B160" s="61" t="s">
        <v>272</v>
      </c>
    </row>
    <row r="161">
      <c r="A161" s="60">
        <v>46140.31638888889</v>
      </c>
      <c r="B161" s="61" t="s">
        <v>339</v>
      </c>
    </row>
    <row r="162">
      <c r="A162" s="60">
        <v>46140.31638888889</v>
      </c>
      <c r="B162" s="61" t="s">
        <v>274</v>
      </c>
    </row>
    <row r="163">
      <c r="A163" s="60">
        <v>46140.316400462965</v>
      </c>
      <c r="B163" s="61" t="s">
        <v>340</v>
      </c>
    </row>
    <row r="164">
      <c r="A164" s="60">
        <v>46140.316412037035</v>
      </c>
      <c r="B164" s="61" t="s">
        <v>276</v>
      </c>
    </row>
    <row r="165">
      <c r="A165" s="60">
        <v>46140.316412037035</v>
      </c>
      <c r="B165" s="61" t="s">
        <v>341</v>
      </c>
    </row>
    <row r="166">
      <c r="A166" s="60">
        <v>46140.31642361111</v>
      </c>
      <c r="B166" s="61" t="s">
        <v>278</v>
      </c>
    </row>
    <row r="167">
      <c r="A167" s="60">
        <v>46140.31642361111</v>
      </c>
      <c r="B167" s="61" t="s">
        <v>279</v>
      </c>
    </row>
    <row r="168">
      <c r="A168" s="60">
        <v>46140.31643518519</v>
      </c>
      <c r="B168" s="61" t="s">
        <v>280</v>
      </c>
    </row>
    <row r="169">
      <c r="A169" s="60">
        <v>46140.31643518519</v>
      </c>
      <c r="B169" s="61" t="s">
        <v>342</v>
      </c>
    </row>
    <row r="170">
      <c r="A170" s="60">
        <v>46140.31643518519</v>
      </c>
      <c r="B170" s="61" t="s">
        <v>282</v>
      </c>
    </row>
    <row r="171">
      <c r="A171" s="60">
        <v>46140.31648148148</v>
      </c>
      <c r="B171" s="61" t="s">
        <v>343</v>
      </c>
    </row>
    <row r="172">
      <c r="A172" s="60">
        <v>46140.31649305556</v>
      </c>
      <c r="B172" s="61" t="s">
        <v>344</v>
      </c>
    </row>
    <row r="173">
      <c r="A173" s="60">
        <v>46140.319548611114</v>
      </c>
      <c r="B173" s="61" t="s">
        <v>266</v>
      </c>
    </row>
    <row r="174">
      <c r="A174" s="60">
        <v>46140.319548611114</v>
      </c>
      <c r="B174" s="61" t="s">
        <v>267</v>
      </c>
    </row>
    <row r="175">
      <c r="A175" s="60">
        <v>46140.319548611114</v>
      </c>
      <c r="B175" s="61" t="s">
        <v>345</v>
      </c>
    </row>
    <row r="176">
      <c r="A176" s="60">
        <v>46140.319560185184</v>
      </c>
      <c r="B176" s="61" t="s">
        <v>286</v>
      </c>
    </row>
    <row r="177">
      <c r="A177" s="60">
        <v>46140.319560185184</v>
      </c>
      <c r="B177" s="61" t="s">
        <v>270</v>
      </c>
    </row>
    <row r="178">
      <c r="A178" s="60">
        <v>46140.319560185184</v>
      </c>
      <c r="B178" s="61" t="s">
        <v>346</v>
      </c>
    </row>
    <row r="179">
      <c r="A179" s="60">
        <v>46140.31957175926</v>
      </c>
      <c r="B179" s="61" t="s">
        <v>272</v>
      </c>
    </row>
    <row r="180">
      <c r="A180" s="60">
        <v>46140.31957175926</v>
      </c>
      <c r="B180" s="61" t="s">
        <v>347</v>
      </c>
    </row>
    <row r="181">
      <c r="A181" s="60">
        <v>46140.31958333333</v>
      </c>
      <c r="B181" s="61" t="s">
        <v>274</v>
      </c>
    </row>
    <row r="182">
      <c r="A182" s="60">
        <v>46140.31958333333</v>
      </c>
      <c r="B182" s="61" t="s">
        <v>348</v>
      </c>
    </row>
    <row r="183">
      <c r="A183" s="60">
        <v>46140.31958333333</v>
      </c>
      <c r="B183" s="61" t="s">
        <v>276</v>
      </c>
    </row>
    <row r="184">
      <c r="A184" s="60">
        <v>46140.31958333333</v>
      </c>
      <c r="B184" s="61" t="s">
        <v>349</v>
      </c>
    </row>
    <row r="185">
      <c r="A185" s="60">
        <v>46140.31959490741</v>
      </c>
      <c r="B185" s="61" t="s">
        <v>278</v>
      </c>
    </row>
    <row r="186">
      <c r="A186" s="60">
        <v>46140.31959490741</v>
      </c>
      <c r="B186" s="61" t="s">
        <v>279</v>
      </c>
    </row>
    <row r="187">
      <c r="A187" s="60">
        <v>46140.31959490741</v>
      </c>
      <c r="B187" s="61" t="s">
        <v>280</v>
      </c>
    </row>
    <row r="188">
      <c r="A188" s="60">
        <v>46140.319606481484</v>
      </c>
      <c r="B188" s="61" t="s">
        <v>350</v>
      </c>
    </row>
    <row r="189">
      <c r="A189" s="60">
        <v>46140.319606481484</v>
      </c>
      <c r="B189" s="61" t="s">
        <v>282</v>
      </c>
    </row>
    <row r="190">
      <c r="A190" s="60">
        <v>46140.31962962963</v>
      </c>
      <c r="B190" s="61" t="s">
        <v>351</v>
      </c>
    </row>
    <row r="191">
      <c r="A191" s="60">
        <v>46140.319652777776</v>
      </c>
      <c r="B191" s="61" t="s">
        <v>352</v>
      </c>
    </row>
    <row r="192">
      <c r="A192" s="60">
        <v>46140.32015046296</v>
      </c>
      <c r="B192" s="61" t="s">
        <v>266</v>
      </c>
    </row>
    <row r="193">
      <c r="A193" s="60">
        <v>46140.32016203704</v>
      </c>
      <c r="B193" s="61" t="s">
        <v>267</v>
      </c>
    </row>
    <row r="194">
      <c r="A194" s="60">
        <v>46140.32017361111</v>
      </c>
      <c r="B194" s="61" t="s">
        <v>353</v>
      </c>
    </row>
    <row r="195">
      <c r="A195" s="60">
        <v>46140.32017361111</v>
      </c>
      <c r="B195" s="61" t="s">
        <v>269</v>
      </c>
    </row>
    <row r="196">
      <c r="A196" s="60">
        <v>46140.32017361111</v>
      </c>
      <c r="B196" s="61" t="s">
        <v>270</v>
      </c>
    </row>
    <row r="197">
      <c r="A197" s="60">
        <v>46140.32017361111</v>
      </c>
      <c r="B197" s="61" t="s">
        <v>354</v>
      </c>
    </row>
    <row r="198">
      <c r="A198" s="60">
        <v>46140.320185185185</v>
      </c>
      <c r="B198" s="61" t="s">
        <v>272</v>
      </c>
    </row>
    <row r="199">
      <c r="A199" s="60">
        <v>46140.32019675926</v>
      </c>
      <c r="B199" s="61" t="s">
        <v>355</v>
      </c>
    </row>
    <row r="200">
      <c r="A200" s="60">
        <v>46140.32019675926</v>
      </c>
      <c r="B200" s="61" t="s">
        <v>274</v>
      </c>
    </row>
    <row r="201">
      <c r="A201" s="60">
        <v>46140.32019675926</v>
      </c>
      <c r="B201" s="61" t="s">
        <v>356</v>
      </c>
    </row>
    <row r="202">
      <c r="A202" s="60">
        <v>46140.32019675926</v>
      </c>
      <c r="B202" s="61" t="s">
        <v>276</v>
      </c>
    </row>
    <row r="203">
      <c r="A203" s="60">
        <v>46140.32020833333</v>
      </c>
      <c r="B203" s="61" t="s">
        <v>357</v>
      </c>
    </row>
    <row r="204">
      <c r="A204" s="60">
        <v>46140.32020833333</v>
      </c>
      <c r="B204" s="61" t="s">
        <v>278</v>
      </c>
    </row>
    <row r="205">
      <c r="A205" s="60">
        <v>46140.32021990741</v>
      </c>
      <c r="B205" s="61" t="s">
        <v>279</v>
      </c>
    </row>
    <row r="206">
      <c r="A206" s="60">
        <v>46140.32021990741</v>
      </c>
      <c r="B206" s="61" t="s">
        <v>280</v>
      </c>
    </row>
    <row r="207">
      <c r="A207" s="60">
        <v>46140.32021990741</v>
      </c>
      <c r="B207" s="61" t="s">
        <v>358</v>
      </c>
    </row>
    <row r="208">
      <c r="A208" s="60">
        <v>46140.32021990741</v>
      </c>
      <c r="B208" s="61" t="s">
        <v>282</v>
      </c>
    </row>
    <row r="209">
      <c r="A209" s="60">
        <v>46140.32025462963</v>
      </c>
      <c r="B209" s="61" t="s">
        <v>359</v>
      </c>
    </row>
    <row r="210">
      <c r="A210" s="60">
        <v>46140.32025462963</v>
      </c>
      <c r="B210" s="61" t="s">
        <v>360</v>
      </c>
    </row>
    <row r="211">
      <c r="A211" s="60">
        <v>46140.320925925924</v>
      </c>
      <c r="B211" s="61" t="s">
        <v>266</v>
      </c>
    </row>
    <row r="212">
      <c r="A212" s="60">
        <v>46140.320925925924</v>
      </c>
      <c r="B212" s="61" t="s">
        <v>267</v>
      </c>
    </row>
    <row r="213">
      <c r="A213" s="60">
        <v>46140.320925925924</v>
      </c>
      <c r="B213" s="61" t="s">
        <v>353</v>
      </c>
    </row>
    <row r="214">
      <c r="A214" s="60">
        <v>46140.32094907408</v>
      </c>
      <c r="B214" s="61" t="s">
        <v>269</v>
      </c>
    </row>
    <row r="215">
      <c r="A215" s="60">
        <v>46140.32094907408</v>
      </c>
      <c r="B215" s="61" t="s">
        <v>270</v>
      </c>
    </row>
    <row r="216">
      <c r="A216" s="60">
        <v>46140.32094907408</v>
      </c>
      <c r="B216" s="61" t="s">
        <v>354</v>
      </c>
    </row>
    <row r="217">
      <c r="A217" s="60">
        <v>46140.32094907408</v>
      </c>
      <c r="B217" s="61" t="s">
        <v>272</v>
      </c>
    </row>
    <row r="218">
      <c r="A218" s="60">
        <v>46140.32096064815</v>
      </c>
      <c r="B218" s="61" t="s">
        <v>355</v>
      </c>
    </row>
    <row r="219">
      <c r="A219" s="60">
        <v>46140.32096064815</v>
      </c>
      <c r="B219" s="61" t="s">
        <v>274</v>
      </c>
    </row>
    <row r="220">
      <c r="A220" s="60">
        <v>46140.32096064815</v>
      </c>
      <c r="B220" s="61" t="s">
        <v>356</v>
      </c>
    </row>
    <row r="221">
      <c r="A221" s="60">
        <v>46140.32096064815</v>
      </c>
      <c r="B221" s="61" t="s">
        <v>276</v>
      </c>
    </row>
    <row r="222">
      <c r="A222" s="60">
        <v>46140.32096064815</v>
      </c>
      <c r="B222" s="61" t="s">
        <v>357</v>
      </c>
    </row>
    <row r="223">
      <c r="A223" s="60">
        <v>46140.320972222224</v>
      </c>
      <c r="B223" s="61" t="s">
        <v>278</v>
      </c>
    </row>
    <row r="224">
      <c r="A224" s="60">
        <v>46140.32098379629</v>
      </c>
      <c r="B224" s="61" t="s">
        <v>279</v>
      </c>
    </row>
    <row r="225">
      <c r="A225" s="60">
        <v>46140.32098379629</v>
      </c>
      <c r="B225" s="61" t="s">
        <v>280</v>
      </c>
    </row>
    <row r="226">
      <c r="A226" s="60">
        <v>46140.32098379629</v>
      </c>
      <c r="B226" s="61" t="s">
        <v>358</v>
      </c>
    </row>
    <row r="227">
      <c r="A227" s="60">
        <v>46140.32099537037</v>
      </c>
      <c r="B227" s="61" t="s">
        <v>282</v>
      </c>
    </row>
    <row r="228">
      <c r="A228" s="60">
        <v>46140.32100694445</v>
      </c>
      <c r="B228" s="61" t="s">
        <v>361</v>
      </c>
    </row>
    <row r="229">
      <c r="A229" s="60">
        <v>46140.321018518516</v>
      </c>
      <c r="B229" s="61" t="s">
        <v>362</v>
      </c>
    </row>
    <row r="230">
      <c r="A230" s="60">
        <v>46140.321180555555</v>
      </c>
      <c r="B230" s="61" t="s">
        <v>266</v>
      </c>
    </row>
    <row r="231">
      <c r="A231" s="60">
        <v>46140.32119212963</v>
      </c>
      <c r="B231" s="61" t="s">
        <v>267</v>
      </c>
    </row>
    <row r="232">
      <c r="A232" s="60">
        <v>46140.32119212963</v>
      </c>
      <c r="B232" s="61" t="s">
        <v>363</v>
      </c>
    </row>
    <row r="233">
      <c r="A233" s="60">
        <v>46140.3212037037</v>
      </c>
      <c r="B233" s="61" t="s">
        <v>286</v>
      </c>
    </row>
    <row r="234">
      <c r="A234" s="60">
        <v>46140.3212037037</v>
      </c>
      <c r="B234" s="61" t="s">
        <v>270</v>
      </c>
    </row>
    <row r="235">
      <c r="A235" s="60">
        <v>46140.3212037037</v>
      </c>
      <c r="B235" s="61" t="s">
        <v>364</v>
      </c>
    </row>
    <row r="236">
      <c r="A236" s="60">
        <v>46140.3212037037</v>
      </c>
      <c r="B236" s="61" t="s">
        <v>272</v>
      </c>
    </row>
    <row r="237">
      <c r="A237" s="60">
        <v>46140.32121527778</v>
      </c>
      <c r="B237" s="61" t="s">
        <v>365</v>
      </c>
    </row>
    <row r="238">
      <c r="A238" s="60">
        <v>46140.32121527778</v>
      </c>
      <c r="B238" s="61" t="s">
        <v>274</v>
      </c>
    </row>
    <row r="239">
      <c r="A239" s="60">
        <v>46140.321226851855</v>
      </c>
      <c r="B239" s="61" t="s">
        <v>366</v>
      </c>
    </row>
    <row r="240">
      <c r="A240" s="60">
        <v>46140.321226851855</v>
      </c>
      <c r="B240" s="61" t="s">
        <v>276</v>
      </c>
    </row>
    <row r="241">
      <c r="A241" s="60">
        <v>46140.321226851855</v>
      </c>
      <c r="B241" s="61" t="s">
        <v>367</v>
      </c>
    </row>
    <row r="242">
      <c r="A242" s="60">
        <v>46140.321226851855</v>
      </c>
      <c r="B242" s="61" t="s">
        <v>278</v>
      </c>
    </row>
    <row r="243">
      <c r="A243" s="60">
        <v>46140.321238425924</v>
      </c>
      <c r="B243" s="61" t="s">
        <v>279</v>
      </c>
    </row>
    <row r="244">
      <c r="A244" s="60">
        <v>46140.32125</v>
      </c>
      <c r="B244" s="61" t="s">
        <v>280</v>
      </c>
    </row>
    <row r="245">
      <c r="A245" s="60">
        <v>46140.32126157408</v>
      </c>
      <c r="B245" s="61" t="s">
        <v>368</v>
      </c>
    </row>
    <row r="246">
      <c r="A246" s="60">
        <v>46140.32127314815</v>
      </c>
      <c r="B246" s="61" t="s">
        <v>282</v>
      </c>
    </row>
    <row r="247">
      <c r="A247" s="60">
        <v>46140.32129629629</v>
      </c>
      <c r="B247" s="61" t="s">
        <v>369</v>
      </c>
    </row>
    <row r="248">
      <c r="A248" s="60">
        <v>46140.32130787037</v>
      </c>
      <c r="B248" s="61" t="s">
        <v>370</v>
      </c>
    </row>
    <row r="249">
      <c r="A249" s="60">
        <v>46141.96015046296</v>
      </c>
      <c r="B249" s="61" t="s">
        <v>266</v>
      </c>
    </row>
    <row r="250">
      <c r="A250" s="60">
        <v>46141.96015046296</v>
      </c>
      <c r="B250" s="61" t="s">
        <v>267</v>
      </c>
    </row>
    <row r="251">
      <c r="A251" s="60">
        <v>46141.96016203704</v>
      </c>
      <c r="B251" s="61" t="s">
        <v>371</v>
      </c>
    </row>
    <row r="252">
      <c r="A252" s="60">
        <v>46141.96016203704</v>
      </c>
      <c r="B252" s="61" t="s">
        <v>286</v>
      </c>
    </row>
    <row r="253">
      <c r="A253" s="60">
        <v>46141.96016203704</v>
      </c>
      <c r="B253" s="61" t="s">
        <v>270</v>
      </c>
    </row>
    <row r="254">
      <c r="A254" s="60">
        <v>46141.96016203704</v>
      </c>
      <c r="B254" s="61" t="s">
        <v>372</v>
      </c>
    </row>
    <row r="255">
      <c r="A255" s="60">
        <v>46141.96016203704</v>
      </c>
      <c r="B255" s="61" t="s">
        <v>373</v>
      </c>
    </row>
    <row r="256">
      <c r="A256" s="60">
        <v>46141.960173611114</v>
      </c>
      <c r="B256" s="61" t="s">
        <v>374</v>
      </c>
    </row>
    <row r="257">
      <c r="A257" s="60">
        <v>46141.960173611114</v>
      </c>
      <c r="B257" s="61" t="s">
        <v>274</v>
      </c>
    </row>
    <row r="258">
      <c r="A258" s="60">
        <v>46141.960173611114</v>
      </c>
      <c r="B258" s="61" t="s">
        <v>375</v>
      </c>
    </row>
    <row r="259">
      <c r="A259" s="60">
        <v>46141.960185185184</v>
      </c>
      <c r="B259" s="61" t="s">
        <v>376</v>
      </c>
    </row>
    <row r="260">
      <c r="A260" s="60">
        <v>46141.960185185184</v>
      </c>
      <c r="B260" s="61" t="s">
        <v>377</v>
      </c>
    </row>
    <row r="261">
      <c r="A261" s="60">
        <v>46141.960185185184</v>
      </c>
      <c r="B261" s="61" t="s">
        <v>278</v>
      </c>
    </row>
    <row r="262">
      <c r="A262" s="60">
        <v>46141.960185185184</v>
      </c>
      <c r="B262" s="61" t="s">
        <v>279</v>
      </c>
    </row>
    <row r="263">
      <c r="A263" s="60">
        <v>46141.96019675926</v>
      </c>
      <c r="B263" s="61" t="s">
        <v>280</v>
      </c>
    </row>
    <row r="264">
      <c r="A264" s="60">
        <v>46141.96019675926</v>
      </c>
      <c r="B264" s="61" t="s">
        <v>378</v>
      </c>
    </row>
    <row r="265">
      <c r="A265" s="60">
        <v>46141.96019675926</v>
      </c>
      <c r="B265" s="61" t="s">
        <v>282</v>
      </c>
    </row>
    <row r="266">
      <c r="A266" s="60">
        <v>46141.96021990741</v>
      </c>
      <c r="B266" s="61" t="s">
        <v>379</v>
      </c>
    </row>
    <row r="267">
      <c r="A267" s="60">
        <v>46141.960231481484</v>
      </c>
      <c r="B267" s="61" t="s">
        <v>380</v>
      </c>
    </row>
    <row r="268">
      <c r="A268" s="60">
        <v>46142.511469907404</v>
      </c>
      <c r="B268" s="61" t="s">
        <v>266</v>
      </c>
    </row>
    <row r="269">
      <c r="A269" s="60">
        <v>46142.511469907404</v>
      </c>
      <c r="B269" s="61" t="s">
        <v>267</v>
      </c>
    </row>
    <row r="270">
      <c r="A270" s="60">
        <v>46142.51148148148</v>
      </c>
      <c r="B270" s="61" t="s">
        <v>381</v>
      </c>
    </row>
    <row r="271">
      <c r="A271" s="60">
        <v>46142.51149305556</v>
      </c>
      <c r="B271" s="61" t="s">
        <v>269</v>
      </c>
    </row>
    <row r="272">
      <c r="A272" s="60">
        <v>46142.51149305556</v>
      </c>
      <c r="B272" s="61" t="s">
        <v>270</v>
      </c>
    </row>
    <row r="273">
      <c r="A273" s="60">
        <v>46142.51149305556</v>
      </c>
      <c r="B273" s="61" t="s">
        <v>382</v>
      </c>
    </row>
    <row r="274">
      <c r="A274" s="60">
        <v>46142.51150462963</v>
      </c>
      <c r="B274" s="61" t="s">
        <v>272</v>
      </c>
    </row>
    <row r="275">
      <c r="A275" s="60">
        <v>46142.51150462963</v>
      </c>
      <c r="B275" s="61" t="s">
        <v>383</v>
      </c>
    </row>
    <row r="276">
      <c r="A276" s="60">
        <v>46142.51150462963</v>
      </c>
      <c r="B276" s="61" t="s">
        <v>274</v>
      </c>
    </row>
    <row r="277">
      <c r="A277" s="60">
        <v>46142.511516203704</v>
      </c>
      <c r="B277" s="61" t="s">
        <v>384</v>
      </c>
    </row>
    <row r="278">
      <c r="A278" s="60">
        <v>46142.511516203704</v>
      </c>
      <c r="B278" s="61" t="s">
        <v>276</v>
      </c>
    </row>
    <row r="279">
      <c r="A279" s="60">
        <v>46142.511516203704</v>
      </c>
      <c r="B279" s="61" t="s">
        <v>385</v>
      </c>
    </row>
    <row r="280">
      <c r="A280" s="60">
        <v>46142.51152777778</v>
      </c>
      <c r="B280" s="61" t="s">
        <v>278</v>
      </c>
    </row>
    <row r="281">
      <c r="A281" s="60">
        <v>46142.51152777778</v>
      </c>
      <c r="B281" s="61" t="s">
        <v>279</v>
      </c>
    </row>
    <row r="282">
      <c r="A282" s="60">
        <v>46142.51152777778</v>
      </c>
      <c r="B282" s="61" t="s">
        <v>280</v>
      </c>
    </row>
    <row r="283">
      <c r="A283" s="60">
        <v>46142.51153935185</v>
      </c>
      <c r="B283" s="61" t="s">
        <v>386</v>
      </c>
    </row>
    <row r="284">
      <c r="A284" s="60">
        <v>46142.51155092593</v>
      </c>
      <c r="B284" s="61" t="s">
        <v>282</v>
      </c>
    </row>
    <row r="285">
      <c r="A285" s="60">
        <v>46142.5115625</v>
      </c>
      <c r="B285" s="61" t="s">
        <v>387</v>
      </c>
    </row>
    <row r="286">
      <c r="A286" s="60">
        <v>46142.51157407407</v>
      </c>
      <c r="B286" s="61" t="s">
        <v>388</v>
      </c>
    </row>
    <row r="287">
      <c r="A287" s="60">
        <v>46142.52846064815</v>
      </c>
      <c r="B287" s="61" t="s">
        <v>266</v>
      </c>
    </row>
    <row r="288">
      <c r="A288" s="60">
        <v>46142.52847222222</v>
      </c>
      <c r="B288" s="61" t="s">
        <v>267</v>
      </c>
    </row>
    <row r="289">
      <c r="A289" s="60">
        <v>46142.5284837963</v>
      </c>
      <c r="B289" s="61" t="s">
        <v>389</v>
      </c>
    </row>
    <row r="290">
      <c r="A290" s="60">
        <v>46142.5284837963</v>
      </c>
      <c r="B290" s="61" t="s">
        <v>286</v>
      </c>
    </row>
    <row r="291">
      <c r="A291" s="60">
        <v>46142.5284837963</v>
      </c>
      <c r="B291" s="61" t="s">
        <v>270</v>
      </c>
    </row>
    <row r="292">
      <c r="A292" s="60">
        <v>46142.5284837963</v>
      </c>
      <c r="B292" s="61" t="s">
        <v>390</v>
      </c>
    </row>
    <row r="293">
      <c r="A293" s="60">
        <v>46142.5284837963</v>
      </c>
      <c r="B293" s="61" t="s">
        <v>272</v>
      </c>
    </row>
    <row r="294">
      <c r="A294" s="60">
        <v>46142.5284837963</v>
      </c>
      <c r="B294" s="61" t="s">
        <v>391</v>
      </c>
    </row>
    <row r="295">
      <c r="A295" s="60">
        <v>46142.528495370374</v>
      </c>
      <c r="B295" s="61" t="s">
        <v>274</v>
      </c>
    </row>
    <row r="296">
      <c r="A296" s="60">
        <v>46142.528495370374</v>
      </c>
      <c r="B296" s="61" t="s">
        <v>392</v>
      </c>
    </row>
    <row r="297">
      <c r="A297" s="60">
        <v>46142.528495370374</v>
      </c>
      <c r="B297" s="61" t="s">
        <v>276</v>
      </c>
    </row>
    <row r="298">
      <c r="A298" s="60">
        <v>46142.528495370374</v>
      </c>
      <c r="B298" s="61" t="s">
        <v>393</v>
      </c>
    </row>
    <row r="299">
      <c r="A299" s="60">
        <v>46142.52850694444</v>
      </c>
      <c r="B299" s="61" t="s">
        <v>278</v>
      </c>
    </row>
    <row r="300">
      <c r="A300" s="60">
        <v>46142.52851851852</v>
      </c>
      <c r="B300" s="61" t="s">
        <v>279</v>
      </c>
    </row>
    <row r="301">
      <c r="A301" s="60">
        <v>46142.52851851852</v>
      </c>
      <c r="B301" s="61" t="s">
        <v>280</v>
      </c>
    </row>
    <row r="302">
      <c r="A302" s="60">
        <v>46142.52851851852</v>
      </c>
      <c r="B302" s="61" t="s">
        <v>394</v>
      </c>
    </row>
    <row r="303">
      <c r="A303" s="60">
        <v>46142.52851851852</v>
      </c>
      <c r="B303" s="61" t="s">
        <v>282</v>
      </c>
    </row>
    <row r="304">
      <c r="A304" s="60">
        <v>46142.52854166667</v>
      </c>
      <c r="B304" s="61" t="s">
        <v>395</v>
      </c>
    </row>
    <row r="305">
      <c r="A305" s="60">
        <v>46142.52856481481</v>
      </c>
      <c r="B305" s="61" t="s">
        <v>396</v>
      </c>
    </row>
    <row r="306">
      <c r="A306" s="60">
        <v>46142.59096064815</v>
      </c>
      <c r="B306" s="61" t="s">
        <v>266</v>
      </c>
    </row>
    <row r="307">
      <c r="A307" s="60">
        <v>46142.59097222222</v>
      </c>
      <c r="B307" s="61" t="s">
        <v>267</v>
      </c>
    </row>
    <row r="308">
      <c r="A308" s="60">
        <v>46142.59097222222</v>
      </c>
      <c r="B308" s="61" t="s">
        <v>397</v>
      </c>
    </row>
    <row r="309">
      <c r="A309" s="60">
        <v>46142.5909837963</v>
      </c>
      <c r="B309" s="61" t="s">
        <v>269</v>
      </c>
    </row>
    <row r="310">
      <c r="A310" s="60">
        <v>46142.5909837963</v>
      </c>
      <c r="B310" s="61" t="s">
        <v>270</v>
      </c>
    </row>
    <row r="311">
      <c r="A311" s="60">
        <v>46142.5909837963</v>
      </c>
      <c r="B311" s="61" t="s">
        <v>398</v>
      </c>
    </row>
    <row r="312">
      <c r="A312" s="60">
        <v>46142.5909837963</v>
      </c>
      <c r="B312" s="61" t="s">
        <v>272</v>
      </c>
    </row>
    <row r="313">
      <c r="A313" s="60">
        <v>46142.590995370374</v>
      </c>
      <c r="B313" s="61" t="s">
        <v>399</v>
      </c>
    </row>
    <row r="314">
      <c r="A314" s="60">
        <v>46142.59100694444</v>
      </c>
      <c r="B314" s="61" t="s">
        <v>274</v>
      </c>
    </row>
    <row r="315">
      <c r="A315" s="60">
        <v>46142.59100694444</v>
      </c>
      <c r="B315" s="61" t="s">
        <v>400</v>
      </c>
    </row>
    <row r="316">
      <c r="A316" s="60">
        <v>46142.59100694444</v>
      </c>
      <c r="B316" s="61" t="s">
        <v>276</v>
      </c>
    </row>
    <row r="317">
      <c r="A317" s="60">
        <v>46142.59101851852</v>
      </c>
      <c r="B317" s="61" t="s">
        <v>401</v>
      </c>
    </row>
    <row r="318">
      <c r="A318" s="60">
        <v>46142.59101851852</v>
      </c>
      <c r="B318" s="61" t="s">
        <v>278</v>
      </c>
    </row>
    <row r="319">
      <c r="A319" s="60">
        <v>46142.59103009259</v>
      </c>
      <c r="B319" s="61" t="s">
        <v>279</v>
      </c>
    </row>
    <row r="320">
      <c r="A320" s="60">
        <v>46142.59103009259</v>
      </c>
      <c r="B320" s="61" t="s">
        <v>280</v>
      </c>
    </row>
    <row r="321">
      <c r="A321" s="60">
        <v>46142.59103009259</v>
      </c>
      <c r="B321" s="61" t="s">
        <v>402</v>
      </c>
    </row>
    <row r="322">
      <c r="A322" s="60">
        <v>46142.59104166667</v>
      </c>
      <c r="B322" s="61" t="s">
        <v>282</v>
      </c>
    </row>
    <row r="323">
      <c r="A323" s="60">
        <v>46142.59105324074</v>
      </c>
      <c r="B323" s="61" t="s">
        <v>403</v>
      </c>
    </row>
    <row r="324">
      <c r="A324" s="60">
        <v>46142.59106481481</v>
      </c>
      <c r="B324" s="61" t="s">
        <v>404</v>
      </c>
    </row>
    <row r="325">
      <c r="A325" s="60">
        <v>46142.68761574074</v>
      </c>
      <c r="B325" s="61" t="s">
        <v>266</v>
      </c>
    </row>
    <row r="326">
      <c r="A326" s="60">
        <v>46142.68761574074</v>
      </c>
      <c r="B326" s="61" t="s">
        <v>267</v>
      </c>
    </row>
    <row r="327">
      <c r="A327" s="60">
        <v>46142.687627314815</v>
      </c>
      <c r="B327" s="61" t="s">
        <v>405</v>
      </c>
    </row>
    <row r="328">
      <c r="A328" s="60">
        <v>46142.687627314815</v>
      </c>
      <c r="B328" s="61" t="s">
        <v>286</v>
      </c>
    </row>
    <row r="329">
      <c r="A329" s="60">
        <v>46142.687627314815</v>
      </c>
      <c r="B329" s="61" t="s">
        <v>270</v>
      </c>
    </row>
    <row r="330">
      <c r="A330" s="60">
        <v>46142.687627314815</v>
      </c>
      <c r="B330" s="61" t="s">
        <v>406</v>
      </c>
    </row>
    <row r="331">
      <c r="A331" s="60">
        <v>46142.68763888889</v>
      </c>
      <c r="B331" s="61" t="s">
        <v>272</v>
      </c>
    </row>
    <row r="332">
      <c r="A332" s="60">
        <v>46142.68763888889</v>
      </c>
      <c r="B332" s="61" t="s">
        <v>407</v>
      </c>
    </row>
    <row r="333">
      <c r="A333" s="60">
        <v>46142.68763888889</v>
      </c>
      <c r="B333" s="61" t="s">
        <v>274</v>
      </c>
    </row>
    <row r="334">
      <c r="A334" s="60">
        <v>46142.68765046296</v>
      </c>
      <c r="B334" s="61" t="s">
        <v>408</v>
      </c>
    </row>
    <row r="335">
      <c r="A335" s="60">
        <v>46142.68765046296</v>
      </c>
      <c r="B335" s="61" t="s">
        <v>276</v>
      </c>
    </row>
    <row r="336">
      <c r="A336" s="60">
        <v>46142.68765046296</v>
      </c>
      <c r="B336" s="61" t="s">
        <v>409</v>
      </c>
    </row>
    <row r="337">
      <c r="A337" s="60">
        <v>46142.68765046296</v>
      </c>
      <c r="B337" s="61" t="s">
        <v>278</v>
      </c>
    </row>
    <row r="338">
      <c r="A338" s="60">
        <v>46142.68765046296</v>
      </c>
      <c r="B338" s="61" t="s">
        <v>279</v>
      </c>
    </row>
    <row r="339">
      <c r="A339" s="60">
        <v>46142.68766203704</v>
      </c>
      <c r="B339" s="61" t="s">
        <v>280</v>
      </c>
    </row>
    <row r="340">
      <c r="A340" s="60">
        <v>46142.68766203704</v>
      </c>
      <c r="B340" s="61" t="s">
        <v>410</v>
      </c>
    </row>
    <row r="341">
      <c r="A341" s="60">
        <v>46142.68766203704</v>
      </c>
      <c r="B341" s="61" t="s">
        <v>282</v>
      </c>
    </row>
    <row r="342">
      <c r="A342" s="60">
        <v>46142.687685185185</v>
      </c>
      <c r="B342" s="61" t="s">
        <v>411</v>
      </c>
    </row>
    <row r="343">
      <c r="A343" s="60">
        <v>46142.68769675926</v>
      </c>
      <c r="B343" s="61" t="s">
        <v>412</v>
      </c>
    </row>
    <row r="344">
      <c r="A344" s="60">
        <v>46142.69667824074</v>
      </c>
      <c r="B344" s="61" t="s">
        <v>266</v>
      </c>
    </row>
    <row r="345">
      <c r="A345" s="60">
        <v>46142.69668981482</v>
      </c>
      <c r="B345" s="61" t="s">
        <v>267</v>
      </c>
    </row>
    <row r="346">
      <c r="A346" s="60">
        <v>46142.69668981482</v>
      </c>
      <c r="B346" s="61" t="s">
        <v>413</v>
      </c>
    </row>
    <row r="347">
      <c r="A347" s="60">
        <v>46142.696701388886</v>
      </c>
      <c r="B347" s="61" t="s">
        <v>286</v>
      </c>
    </row>
    <row r="348">
      <c r="A348" s="60">
        <v>46142.696701388886</v>
      </c>
      <c r="B348" s="61" t="s">
        <v>270</v>
      </c>
    </row>
    <row r="349">
      <c r="A349" s="60">
        <v>46142.696701388886</v>
      </c>
      <c r="B349" s="61" t="s">
        <v>414</v>
      </c>
    </row>
    <row r="350">
      <c r="A350" s="60">
        <v>46142.696701388886</v>
      </c>
      <c r="B350" s="61" t="s">
        <v>272</v>
      </c>
    </row>
    <row r="351">
      <c r="A351" s="60">
        <v>46142.69671296296</v>
      </c>
      <c r="B351" s="61" t="s">
        <v>415</v>
      </c>
    </row>
    <row r="352">
      <c r="A352" s="60">
        <v>46142.69671296296</v>
      </c>
      <c r="B352" s="61" t="s">
        <v>274</v>
      </c>
    </row>
    <row r="353">
      <c r="A353" s="60">
        <v>46142.69672453704</v>
      </c>
      <c r="B353" s="61" t="s">
        <v>416</v>
      </c>
    </row>
    <row r="354">
      <c r="A354" s="60">
        <v>46142.69672453704</v>
      </c>
      <c r="B354" s="61" t="s">
        <v>276</v>
      </c>
    </row>
    <row r="355">
      <c r="A355" s="60">
        <v>46142.69672453704</v>
      </c>
      <c r="B355" s="61" t="s">
        <v>417</v>
      </c>
    </row>
    <row r="356">
      <c r="A356" s="60">
        <v>46142.69672453704</v>
      </c>
      <c r="B356" s="61" t="s">
        <v>278</v>
      </c>
    </row>
    <row r="357">
      <c r="A357" s="60">
        <v>46142.69673611111</v>
      </c>
      <c r="B357" s="61" t="s">
        <v>279</v>
      </c>
    </row>
    <row r="358">
      <c r="A358" s="60">
        <v>46142.69673611111</v>
      </c>
      <c r="B358" s="61" t="s">
        <v>280</v>
      </c>
    </row>
    <row r="359">
      <c r="A359" s="60">
        <v>46142.69673611111</v>
      </c>
      <c r="B359" s="61" t="s">
        <v>418</v>
      </c>
    </row>
    <row r="360">
      <c r="A360" s="60">
        <v>46142.696747685186</v>
      </c>
      <c r="B360" s="61" t="s">
        <v>282</v>
      </c>
    </row>
    <row r="361">
      <c r="A361" s="60">
        <v>46142.69677083333</v>
      </c>
      <c r="B361" s="61" t="s">
        <v>419</v>
      </c>
    </row>
    <row r="362">
      <c r="A362" s="60">
        <v>46142.69678240741</v>
      </c>
      <c r="B362" s="61" t="s">
        <v>420</v>
      </c>
    </row>
    <row r="363">
      <c r="A363" s="60">
        <v>46142.86108796296</v>
      </c>
      <c r="B363" s="61" t="s">
        <v>266</v>
      </c>
    </row>
    <row r="364">
      <c r="A364" s="60">
        <v>46142.86108796296</v>
      </c>
      <c r="B364" s="61" t="s">
        <v>267</v>
      </c>
    </row>
    <row r="365">
      <c r="A365" s="60">
        <v>46142.86109953704</v>
      </c>
      <c r="B365" s="61" t="s">
        <v>421</v>
      </c>
    </row>
    <row r="366">
      <c r="A366" s="60">
        <v>46142.86111111111</v>
      </c>
      <c r="B366" s="61" t="s">
        <v>286</v>
      </c>
    </row>
    <row r="367">
      <c r="A367" s="60">
        <v>46142.86111111111</v>
      </c>
      <c r="B367" s="61" t="s">
        <v>270</v>
      </c>
    </row>
    <row r="368">
      <c r="A368" s="60">
        <v>46142.86111111111</v>
      </c>
      <c r="B368" s="61" t="s">
        <v>422</v>
      </c>
    </row>
    <row r="369">
      <c r="A369" s="60">
        <v>46142.861122685186</v>
      </c>
      <c r="B369" s="61" t="s">
        <v>272</v>
      </c>
    </row>
    <row r="370">
      <c r="A370" s="60">
        <v>46142.861122685186</v>
      </c>
      <c r="B370" s="61" t="s">
        <v>423</v>
      </c>
    </row>
    <row r="371">
      <c r="A371" s="60">
        <v>46142.861134259256</v>
      </c>
      <c r="B371" s="61" t="s">
        <v>274</v>
      </c>
    </row>
    <row r="372">
      <c r="A372" s="60">
        <v>46142.861134259256</v>
      </c>
      <c r="B372" s="61" t="s">
        <v>424</v>
      </c>
    </row>
    <row r="373">
      <c r="A373" s="60">
        <v>46142.861134259256</v>
      </c>
      <c r="B373" s="61" t="s">
        <v>276</v>
      </c>
    </row>
    <row r="374">
      <c r="A374" s="60">
        <v>46142.86114583333</v>
      </c>
      <c r="B374" s="61" t="s">
        <v>425</v>
      </c>
    </row>
    <row r="375">
      <c r="A375" s="60">
        <v>46142.86115740741</v>
      </c>
      <c r="B375" s="61" t="s">
        <v>278</v>
      </c>
    </row>
    <row r="376">
      <c r="A376" s="60">
        <v>46142.86115740741</v>
      </c>
      <c r="B376" s="61" t="s">
        <v>279</v>
      </c>
    </row>
    <row r="377">
      <c r="A377" s="60">
        <v>46142.86116898148</v>
      </c>
      <c r="B377" s="61" t="s">
        <v>280</v>
      </c>
    </row>
    <row r="378">
      <c r="A378" s="60">
        <v>46142.86116898148</v>
      </c>
      <c r="B378" s="61" t="s">
        <v>426</v>
      </c>
    </row>
    <row r="379">
      <c r="A379" s="60">
        <v>46142.861180555556</v>
      </c>
      <c r="B379" s="61" t="s">
        <v>282</v>
      </c>
    </row>
    <row r="380">
      <c r="A380" s="60">
        <v>46142.8612037037</v>
      </c>
      <c r="B380" s="61" t="s">
        <v>427</v>
      </c>
    </row>
    <row r="381">
      <c r="A381" s="60">
        <v>46142.86121527778</v>
      </c>
      <c r="B381" s="61" t="s">
        <v>428</v>
      </c>
    </row>
    <row r="382">
      <c r="A382" s="60">
        <v>46142.862592592595</v>
      </c>
      <c r="B382" s="61" t="s">
        <v>266</v>
      </c>
    </row>
    <row r="383">
      <c r="A383" s="60">
        <v>46142.862592592595</v>
      </c>
      <c r="B383" s="61" t="s">
        <v>267</v>
      </c>
    </row>
    <row r="384">
      <c r="A384" s="60">
        <v>46142.862604166665</v>
      </c>
      <c r="B384" s="61" t="s">
        <v>429</v>
      </c>
    </row>
    <row r="385">
      <c r="A385" s="60">
        <v>46142.862604166665</v>
      </c>
      <c r="B385" s="61" t="s">
        <v>286</v>
      </c>
    </row>
    <row r="386">
      <c r="A386" s="60">
        <v>46142.862604166665</v>
      </c>
      <c r="B386" s="61" t="s">
        <v>270</v>
      </c>
    </row>
    <row r="387">
      <c r="A387" s="60">
        <v>46142.86261574074</v>
      </c>
      <c r="B387" s="61" t="s">
        <v>430</v>
      </c>
    </row>
    <row r="388">
      <c r="A388" s="60">
        <v>46142.86261574074</v>
      </c>
      <c r="B388" s="61" t="s">
        <v>272</v>
      </c>
    </row>
    <row r="389">
      <c r="A389" s="60">
        <v>46142.86261574074</v>
      </c>
      <c r="B389" s="61" t="s">
        <v>431</v>
      </c>
    </row>
    <row r="390">
      <c r="A390" s="60">
        <v>46142.86261574074</v>
      </c>
      <c r="B390" s="61" t="s">
        <v>274</v>
      </c>
    </row>
    <row r="391">
      <c r="A391" s="60">
        <v>46142.86262731482</v>
      </c>
      <c r="B391" s="61" t="s">
        <v>432</v>
      </c>
    </row>
    <row r="392">
      <c r="A392" s="60">
        <v>46142.86262731482</v>
      </c>
      <c r="B392" s="61" t="s">
        <v>276</v>
      </c>
    </row>
    <row r="393">
      <c r="A393" s="60">
        <v>46142.86262731482</v>
      </c>
      <c r="B393" s="61" t="s">
        <v>433</v>
      </c>
    </row>
    <row r="394">
      <c r="A394" s="60">
        <v>46142.86262731482</v>
      </c>
      <c r="B394" s="61" t="s">
        <v>278</v>
      </c>
    </row>
    <row r="395">
      <c r="A395" s="60">
        <v>46142.86263888889</v>
      </c>
      <c r="B395" s="61" t="s">
        <v>279</v>
      </c>
    </row>
    <row r="396">
      <c r="A396" s="60">
        <v>46142.86263888889</v>
      </c>
      <c r="B396" s="61" t="s">
        <v>280</v>
      </c>
    </row>
    <row r="397">
      <c r="A397" s="60">
        <v>46142.862650462965</v>
      </c>
      <c r="B397" s="61" t="s">
        <v>434</v>
      </c>
    </row>
    <row r="398">
      <c r="A398" s="60">
        <v>46142.862650462965</v>
      </c>
      <c r="B398" s="61" t="s">
        <v>282</v>
      </c>
    </row>
    <row r="399">
      <c r="A399" s="60">
        <v>46142.862662037034</v>
      </c>
      <c r="B399" s="61" t="s">
        <v>435</v>
      </c>
    </row>
    <row r="400">
      <c r="A400" s="60">
        <v>46142.86268518519</v>
      </c>
      <c r="B400" s="61" t="s">
        <v>436</v>
      </c>
    </row>
    <row r="401">
      <c r="A401" s="60">
        <v>46144.35052083333</v>
      </c>
      <c r="B401" s="61" t="s">
        <v>266</v>
      </c>
    </row>
    <row r="402">
      <c r="A402" s="60">
        <v>46144.35052083333</v>
      </c>
      <c r="B402" s="61" t="s">
        <v>267</v>
      </c>
    </row>
    <row r="403">
      <c r="A403" s="60">
        <v>46144.35053240741</v>
      </c>
      <c r="B403" s="61" t="s">
        <v>437</v>
      </c>
    </row>
    <row r="404">
      <c r="A404" s="60">
        <v>46144.35053240741</v>
      </c>
      <c r="B404" s="61" t="s">
        <v>269</v>
      </c>
    </row>
    <row r="405">
      <c r="A405" s="60">
        <v>46144.35053240741</v>
      </c>
      <c r="B405" s="61" t="s">
        <v>270</v>
      </c>
    </row>
    <row r="406">
      <c r="A406" s="60">
        <v>46144.35054398148</v>
      </c>
      <c r="B406" s="61" t="s">
        <v>438</v>
      </c>
    </row>
    <row r="407">
      <c r="A407" s="60">
        <v>46144.35054398148</v>
      </c>
      <c r="B407" s="61" t="s">
        <v>272</v>
      </c>
    </row>
    <row r="408">
      <c r="A408" s="60">
        <v>46144.35054398148</v>
      </c>
      <c r="B408" s="61" t="s">
        <v>439</v>
      </c>
    </row>
    <row r="409">
      <c r="A409" s="60">
        <v>46144.35055555555</v>
      </c>
      <c r="B409" s="61" t="s">
        <v>274</v>
      </c>
    </row>
    <row r="410">
      <c r="A410" s="60">
        <v>46144.35055555555</v>
      </c>
      <c r="B410" s="61" t="s">
        <v>440</v>
      </c>
    </row>
    <row r="411">
      <c r="A411" s="60">
        <v>46144.35055555555</v>
      </c>
      <c r="B411" s="61" t="s">
        <v>276</v>
      </c>
    </row>
    <row r="412">
      <c r="A412" s="60">
        <v>46144.35056712963</v>
      </c>
      <c r="B412" s="61" t="s">
        <v>441</v>
      </c>
    </row>
    <row r="413">
      <c r="A413" s="60">
        <v>46144.35056712963</v>
      </c>
      <c r="B413" s="61" t="s">
        <v>278</v>
      </c>
    </row>
    <row r="414">
      <c r="A414" s="60">
        <v>46144.35057870371</v>
      </c>
      <c r="B414" s="61" t="s">
        <v>279</v>
      </c>
    </row>
    <row r="415">
      <c r="A415" s="60">
        <v>46144.35057870371</v>
      </c>
      <c r="B415" s="61" t="s">
        <v>280</v>
      </c>
    </row>
    <row r="416">
      <c r="A416" s="60">
        <v>46144.35057870371</v>
      </c>
      <c r="B416" s="61" t="s">
        <v>442</v>
      </c>
    </row>
    <row r="417">
      <c r="A417" s="60">
        <v>46144.350590277776</v>
      </c>
      <c r="B417" s="61" t="s">
        <v>282</v>
      </c>
    </row>
    <row r="418">
      <c r="A418" s="60">
        <v>46144.35061342592</v>
      </c>
      <c r="B418" s="61" t="s">
        <v>443</v>
      </c>
    </row>
    <row r="419">
      <c r="A419" s="60">
        <v>46144.350625</v>
      </c>
      <c r="B419" s="61" t="s">
        <v>444</v>
      </c>
    </row>
    <row r="420">
      <c r="A420" s="60">
        <v>46144.45657407407</v>
      </c>
      <c r="B420" s="61" t="s">
        <v>266</v>
      </c>
    </row>
    <row r="421">
      <c r="A421" s="60">
        <v>46144.45657407407</v>
      </c>
      <c r="B421" s="61" t="s">
        <v>267</v>
      </c>
    </row>
    <row r="422">
      <c r="A422" s="60">
        <v>46144.45658564815</v>
      </c>
      <c r="B422" s="61" t="s">
        <v>445</v>
      </c>
    </row>
    <row r="423">
      <c r="A423" s="60">
        <v>46144.45658564815</v>
      </c>
      <c r="B423" s="61" t="s">
        <v>269</v>
      </c>
    </row>
    <row r="424">
      <c r="A424" s="60">
        <v>46144.45659722222</v>
      </c>
      <c r="B424" s="61" t="s">
        <v>270</v>
      </c>
    </row>
    <row r="425">
      <c r="A425" s="60">
        <v>46144.45659722222</v>
      </c>
      <c r="B425" s="61" t="s">
        <v>446</v>
      </c>
    </row>
    <row r="426">
      <c r="A426" s="60">
        <v>46144.45659722222</v>
      </c>
      <c r="B426" s="61" t="s">
        <v>272</v>
      </c>
    </row>
    <row r="427">
      <c r="A427" s="60">
        <v>46144.45659722222</v>
      </c>
      <c r="B427" s="61" t="s">
        <v>447</v>
      </c>
    </row>
    <row r="428">
      <c r="A428" s="60">
        <v>46144.456608796296</v>
      </c>
      <c r="B428" s="61" t="s">
        <v>274</v>
      </c>
    </row>
    <row r="429">
      <c r="A429" s="60">
        <v>46144.456608796296</v>
      </c>
      <c r="B429" s="61" t="s">
        <v>448</v>
      </c>
    </row>
    <row r="430">
      <c r="A430" s="60">
        <v>46144.45662037037</v>
      </c>
      <c r="B430" s="61" t="s">
        <v>276</v>
      </c>
    </row>
    <row r="431">
      <c r="A431" s="60">
        <v>46144.45662037037</v>
      </c>
      <c r="B431" s="61" t="s">
        <v>449</v>
      </c>
    </row>
    <row r="432">
      <c r="A432" s="60">
        <v>46144.45662037037</v>
      </c>
      <c r="B432" s="61" t="s">
        <v>278</v>
      </c>
    </row>
    <row r="433">
      <c r="A433" s="60">
        <v>46144.45663194444</v>
      </c>
      <c r="B433" s="61" t="s">
        <v>279</v>
      </c>
    </row>
    <row r="434">
      <c r="A434" s="60">
        <v>46144.45663194444</v>
      </c>
      <c r="B434" s="61" t="s">
        <v>280</v>
      </c>
    </row>
    <row r="435">
      <c r="A435" s="60">
        <v>46144.45663194444</v>
      </c>
      <c r="B435" s="61" t="s">
        <v>450</v>
      </c>
    </row>
    <row r="436">
      <c r="A436" s="60">
        <v>46144.45663194444</v>
      </c>
      <c r="B436" s="61" t="s">
        <v>282</v>
      </c>
    </row>
    <row r="437">
      <c r="A437" s="60">
        <v>46144.456655092596</v>
      </c>
      <c r="B437" s="61" t="s">
        <v>451</v>
      </c>
    </row>
    <row r="438">
      <c r="A438" s="60">
        <v>46144.456666666665</v>
      </c>
      <c r="B438" s="61" t="s">
        <v>452</v>
      </c>
    </row>
    <row r="439">
      <c r="A439" s="60">
        <v>46144.70180555555</v>
      </c>
      <c r="B439" s="61" t="s">
        <v>266</v>
      </c>
    </row>
    <row r="440">
      <c r="A440" s="60">
        <v>46144.70181712963</v>
      </c>
      <c r="B440" s="61" t="s">
        <v>267</v>
      </c>
    </row>
    <row r="441">
      <c r="A441" s="60">
        <v>46144.70181712963</v>
      </c>
      <c r="B441" s="61" t="s">
        <v>453</v>
      </c>
    </row>
    <row r="442">
      <c r="A442" s="60">
        <v>46144.701828703706</v>
      </c>
      <c r="B442" s="61" t="s">
        <v>286</v>
      </c>
    </row>
    <row r="443">
      <c r="A443" s="60">
        <v>46144.701828703706</v>
      </c>
      <c r="B443" s="61" t="s">
        <v>270</v>
      </c>
    </row>
    <row r="444">
      <c r="A444" s="60">
        <v>46144.701828703706</v>
      </c>
      <c r="B444" s="61" t="s">
        <v>454</v>
      </c>
    </row>
    <row r="445">
      <c r="A445" s="60">
        <v>46144.701828703706</v>
      </c>
      <c r="B445" s="61" t="s">
        <v>272</v>
      </c>
    </row>
    <row r="446">
      <c r="A446" s="60">
        <v>46144.701828703706</v>
      </c>
      <c r="B446" s="61" t="s">
        <v>455</v>
      </c>
    </row>
    <row r="447">
      <c r="A447" s="60">
        <v>46144.70185185185</v>
      </c>
      <c r="B447" s="61" t="s">
        <v>274</v>
      </c>
    </row>
    <row r="448">
      <c r="A448" s="60">
        <v>46144.70185185185</v>
      </c>
      <c r="B448" s="61" t="s">
        <v>456</v>
      </c>
    </row>
    <row r="449">
      <c r="A449" s="60">
        <v>46144.70185185185</v>
      </c>
      <c r="B449" s="61" t="s">
        <v>276</v>
      </c>
    </row>
    <row r="450">
      <c r="A450" s="60">
        <v>46144.70185185185</v>
      </c>
      <c r="B450" s="61" t="s">
        <v>457</v>
      </c>
    </row>
    <row r="451">
      <c r="A451" s="60">
        <v>46144.70185185185</v>
      </c>
      <c r="B451" s="61" t="s">
        <v>278</v>
      </c>
    </row>
    <row r="452">
      <c r="A452" s="60">
        <v>46144.70186342593</v>
      </c>
      <c r="B452" s="61" t="s">
        <v>279</v>
      </c>
    </row>
    <row r="453">
      <c r="A453" s="60">
        <v>46144.70186342593</v>
      </c>
      <c r="B453" s="61" t="s">
        <v>280</v>
      </c>
    </row>
    <row r="454">
      <c r="A454" s="60">
        <v>46144.70186342593</v>
      </c>
      <c r="B454" s="61" t="s">
        <v>458</v>
      </c>
    </row>
    <row r="455">
      <c r="A455" s="60">
        <v>46144.70186342593</v>
      </c>
      <c r="B455" s="61" t="s">
        <v>282</v>
      </c>
    </row>
    <row r="456">
      <c r="A456" s="60">
        <v>46144.701886574076</v>
      </c>
      <c r="B456" s="61" t="s">
        <v>459</v>
      </c>
    </row>
    <row r="457">
      <c r="A457" s="60">
        <v>46144.701898148145</v>
      </c>
      <c r="B457" s="61" t="s">
        <v>460</v>
      </c>
    </row>
    <row r="458">
      <c r="A458" s="60">
        <v>46145.76961805556</v>
      </c>
      <c r="B458" s="61" t="s">
        <v>266</v>
      </c>
    </row>
    <row r="459">
      <c r="A459" s="60">
        <v>46145.76961805556</v>
      </c>
      <c r="B459" s="61" t="s">
        <v>267</v>
      </c>
    </row>
    <row r="460">
      <c r="A460" s="60">
        <v>46145.76962962963</v>
      </c>
      <c r="B460" s="61" t="s">
        <v>461</v>
      </c>
    </row>
    <row r="461">
      <c r="A461" s="60">
        <v>46145.76962962963</v>
      </c>
      <c r="B461" s="61" t="s">
        <v>286</v>
      </c>
    </row>
    <row r="462">
      <c r="A462" s="60">
        <v>46145.76962962963</v>
      </c>
      <c r="B462" s="61" t="s">
        <v>270</v>
      </c>
    </row>
    <row r="463">
      <c r="A463" s="60">
        <v>46145.76962962963</v>
      </c>
      <c r="B463" s="61" t="s">
        <v>462</v>
      </c>
    </row>
    <row r="464">
      <c r="A464" s="60">
        <v>46145.76962962963</v>
      </c>
      <c r="B464" s="61" t="s">
        <v>272</v>
      </c>
    </row>
    <row r="465">
      <c r="A465" s="60">
        <v>46145.769641203704</v>
      </c>
      <c r="B465" s="61" t="s">
        <v>463</v>
      </c>
    </row>
    <row r="466">
      <c r="A466" s="60">
        <v>46145.769641203704</v>
      </c>
      <c r="B466" s="61" t="s">
        <v>274</v>
      </c>
    </row>
    <row r="467">
      <c r="A467" s="60">
        <v>46145.769641203704</v>
      </c>
      <c r="B467" s="61" t="s">
        <v>464</v>
      </c>
    </row>
    <row r="468">
      <c r="A468" s="60">
        <v>46145.76965277778</v>
      </c>
      <c r="B468" s="61" t="s">
        <v>276</v>
      </c>
    </row>
    <row r="469">
      <c r="A469" s="60">
        <v>46145.76965277778</v>
      </c>
      <c r="B469" s="61" t="s">
        <v>465</v>
      </c>
    </row>
    <row r="470">
      <c r="A470" s="60">
        <v>46145.76965277778</v>
      </c>
      <c r="B470" s="61" t="s">
        <v>278</v>
      </c>
    </row>
    <row r="471">
      <c r="A471" s="60">
        <v>46145.76965277778</v>
      </c>
      <c r="B471" s="61" t="s">
        <v>279</v>
      </c>
    </row>
    <row r="472">
      <c r="A472" s="60">
        <v>46145.76966435185</v>
      </c>
      <c r="B472" s="61" t="s">
        <v>280</v>
      </c>
    </row>
    <row r="473">
      <c r="A473" s="60">
        <v>46145.76966435185</v>
      </c>
      <c r="B473" s="61" t="s">
        <v>466</v>
      </c>
    </row>
    <row r="474">
      <c r="A474" s="60">
        <v>46145.76966435185</v>
      </c>
      <c r="B474" s="61" t="s">
        <v>282</v>
      </c>
    </row>
    <row r="475">
      <c r="A475" s="60">
        <v>46145.76967592593</v>
      </c>
      <c r="B475" s="61" t="s">
        <v>467</v>
      </c>
    </row>
    <row r="476">
      <c r="A476" s="60">
        <v>46145.76971064815</v>
      </c>
      <c r="B476" s="61" t="s">
        <v>468</v>
      </c>
    </row>
    <row r="477">
      <c r="A477" s="60">
        <v>46145.82611111111</v>
      </c>
      <c r="B477" s="61" t="s">
        <v>266</v>
      </c>
    </row>
    <row r="478">
      <c r="A478" s="60">
        <v>46145.82611111111</v>
      </c>
      <c r="B478" s="61" t="s">
        <v>267</v>
      </c>
    </row>
    <row r="479">
      <c r="A479" s="60">
        <v>46145.82611111111</v>
      </c>
      <c r="B479" s="61" t="s">
        <v>469</v>
      </c>
    </row>
    <row r="480">
      <c r="A480" s="60">
        <v>46145.82612268518</v>
      </c>
      <c r="B480" s="61" t="s">
        <v>286</v>
      </c>
    </row>
    <row r="481">
      <c r="A481" s="60">
        <v>46145.82612268518</v>
      </c>
      <c r="B481" s="61" t="s">
        <v>270</v>
      </c>
    </row>
    <row r="482">
      <c r="A482" s="60">
        <v>46145.82612268518</v>
      </c>
      <c r="B482" s="61" t="s">
        <v>470</v>
      </c>
    </row>
    <row r="483">
      <c r="A483" s="60">
        <v>46145.82612268518</v>
      </c>
      <c r="B483" s="61" t="s">
        <v>272</v>
      </c>
    </row>
    <row r="484">
      <c r="A484" s="60">
        <v>46145.82613425926</v>
      </c>
      <c r="B484" s="61" t="s">
        <v>471</v>
      </c>
    </row>
    <row r="485">
      <c r="A485" s="60">
        <v>46145.826145833336</v>
      </c>
      <c r="B485" s="61" t="s">
        <v>274</v>
      </c>
    </row>
    <row r="486">
      <c r="A486" s="60">
        <v>46145.826145833336</v>
      </c>
      <c r="B486" s="61" t="s">
        <v>472</v>
      </c>
    </row>
    <row r="487">
      <c r="A487" s="60">
        <v>46145.826145833336</v>
      </c>
      <c r="B487" s="61" t="s">
        <v>276</v>
      </c>
    </row>
    <row r="488">
      <c r="A488" s="60">
        <v>46145.826145833336</v>
      </c>
      <c r="B488" s="61" t="s">
        <v>473</v>
      </c>
    </row>
    <row r="489">
      <c r="A489" s="60">
        <v>46145.826157407406</v>
      </c>
      <c r="B489" s="61" t="s">
        <v>278</v>
      </c>
    </row>
    <row r="490">
      <c r="A490" s="60">
        <v>46145.826157407406</v>
      </c>
      <c r="B490" s="61" t="s">
        <v>279</v>
      </c>
    </row>
    <row r="491">
      <c r="A491" s="60">
        <v>46145.826157407406</v>
      </c>
      <c r="B491" s="61" t="s">
        <v>280</v>
      </c>
    </row>
    <row r="492">
      <c r="A492" s="60">
        <v>46145.82616898148</v>
      </c>
      <c r="B492" s="61" t="s">
        <v>474</v>
      </c>
    </row>
    <row r="493">
      <c r="A493" s="60">
        <v>46145.82616898148</v>
      </c>
      <c r="B493" s="61" t="s">
        <v>282</v>
      </c>
    </row>
    <row r="494">
      <c r="A494" s="60">
        <v>46145.82619212963</v>
      </c>
      <c r="B494" s="61" t="s">
        <v>475</v>
      </c>
    </row>
    <row r="495">
      <c r="A495" s="60">
        <v>46145.826203703706</v>
      </c>
      <c r="B495" s="61" t="s">
        <v>476</v>
      </c>
    </row>
    <row r="496">
      <c r="A496" s="60">
        <v>46146.657222222224</v>
      </c>
      <c r="B496" s="61" t="s">
        <v>266</v>
      </c>
    </row>
    <row r="497">
      <c r="A497" s="60">
        <v>46146.657222222224</v>
      </c>
      <c r="B497" s="61" t="s">
        <v>267</v>
      </c>
    </row>
    <row r="498">
      <c r="A498" s="60">
        <v>46146.65723379629</v>
      </c>
      <c r="B498" s="61" t="s">
        <v>477</v>
      </c>
    </row>
    <row r="499">
      <c r="A499" s="60">
        <v>46146.65724537037</v>
      </c>
      <c r="B499" s="61" t="s">
        <v>286</v>
      </c>
    </row>
    <row r="500">
      <c r="A500" s="60">
        <v>46146.65724537037</v>
      </c>
      <c r="B500" s="61" t="s">
        <v>270</v>
      </c>
    </row>
    <row r="501">
      <c r="A501" s="60">
        <v>46146.65724537037</v>
      </c>
      <c r="B501" s="61" t="s">
        <v>478</v>
      </c>
    </row>
    <row r="502">
      <c r="A502" s="60">
        <v>46146.65725694445</v>
      </c>
      <c r="B502" s="61" t="s">
        <v>272</v>
      </c>
    </row>
    <row r="503">
      <c r="A503" s="60">
        <v>46146.65725694445</v>
      </c>
      <c r="B503" s="61" t="s">
        <v>479</v>
      </c>
    </row>
    <row r="504">
      <c r="A504" s="60">
        <v>46146.65725694445</v>
      </c>
      <c r="B504" s="61" t="s">
        <v>274</v>
      </c>
    </row>
    <row r="505">
      <c r="A505" s="60">
        <v>46146.65725694445</v>
      </c>
      <c r="B505" s="61" t="s">
        <v>480</v>
      </c>
    </row>
    <row r="506">
      <c r="A506" s="60">
        <v>46146.65725694445</v>
      </c>
      <c r="B506" s="61" t="s">
        <v>276</v>
      </c>
    </row>
    <row r="507">
      <c r="A507" s="60">
        <v>46146.65726851852</v>
      </c>
      <c r="B507" s="61" t="s">
        <v>481</v>
      </c>
    </row>
    <row r="508">
      <c r="A508" s="60">
        <v>46146.65726851852</v>
      </c>
      <c r="B508" s="61" t="s">
        <v>278</v>
      </c>
    </row>
    <row r="509">
      <c r="A509" s="60">
        <v>46146.65726851852</v>
      </c>
      <c r="B509" s="61" t="s">
        <v>279</v>
      </c>
    </row>
    <row r="510">
      <c r="A510" s="60">
        <v>46146.65726851852</v>
      </c>
      <c r="B510" s="61" t="s">
        <v>280</v>
      </c>
    </row>
    <row r="511">
      <c r="A511" s="60">
        <v>46146.65728009259</v>
      </c>
      <c r="B511" s="61" t="s">
        <v>482</v>
      </c>
    </row>
    <row r="512">
      <c r="A512" s="60">
        <v>46146.65728009259</v>
      </c>
      <c r="B512" s="61" t="s">
        <v>282</v>
      </c>
    </row>
    <row r="513">
      <c r="A513" s="60">
        <v>46146.65730324074</v>
      </c>
      <c r="B513" s="61" t="s">
        <v>483</v>
      </c>
    </row>
    <row r="514">
      <c r="A514" s="60">
        <v>46146.65733796296</v>
      </c>
      <c r="B514" s="61" t="s">
        <v>484</v>
      </c>
    </row>
    <row r="515">
      <c r="A515" s="60">
        <v>46148.579305555555</v>
      </c>
      <c r="B515" s="61" t="s">
        <v>266</v>
      </c>
    </row>
    <row r="516">
      <c r="A516" s="60">
        <v>46148.579305555555</v>
      </c>
      <c r="B516" s="61" t="s">
        <v>267</v>
      </c>
    </row>
    <row r="517">
      <c r="A517" s="60">
        <v>46148.57931712963</v>
      </c>
      <c r="B517" s="61" t="s">
        <v>485</v>
      </c>
    </row>
    <row r="518">
      <c r="A518" s="60">
        <v>46148.57931712963</v>
      </c>
      <c r="B518" s="61" t="s">
        <v>286</v>
      </c>
    </row>
    <row r="519">
      <c r="A519" s="60">
        <v>46148.5793287037</v>
      </c>
      <c r="B519" s="61" t="s">
        <v>270</v>
      </c>
    </row>
    <row r="520">
      <c r="A520" s="60">
        <v>46148.5793287037</v>
      </c>
      <c r="B520" s="61" t="s">
        <v>486</v>
      </c>
    </row>
    <row r="521">
      <c r="A521" s="60">
        <v>46148.5793287037</v>
      </c>
      <c r="B521" s="61" t="s">
        <v>272</v>
      </c>
    </row>
    <row r="522">
      <c r="A522" s="60">
        <v>46148.5793287037</v>
      </c>
      <c r="B522" s="61" t="s">
        <v>487</v>
      </c>
    </row>
    <row r="523">
      <c r="A523" s="60">
        <v>46148.5793287037</v>
      </c>
      <c r="B523" s="61" t="s">
        <v>274</v>
      </c>
    </row>
    <row r="524">
      <c r="A524" s="60">
        <v>46148.57934027778</v>
      </c>
      <c r="B524" s="61" t="s">
        <v>488</v>
      </c>
    </row>
    <row r="525">
      <c r="A525" s="60">
        <v>46148.57934027778</v>
      </c>
      <c r="B525" s="61" t="s">
        <v>276</v>
      </c>
    </row>
    <row r="526">
      <c r="A526" s="60">
        <v>46148.57934027778</v>
      </c>
      <c r="B526" s="61" t="s">
        <v>489</v>
      </c>
    </row>
    <row r="527">
      <c r="A527" s="60">
        <v>46148.57934027778</v>
      </c>
      <c r="B527" s="61" t="s">
        <v>278</v>
      </c>
    </row>
    <row r="528">
      <c r="A528" s="60">
        <v>46148.579351851855</v>
      </c>
      <c r="B528" s="61" t="s">
        <v>279</v>
      </c>
    </row>
    <row r="529">
      <c r="A529" s="60">
        <v>46148.579351851855</v>
      </c>
      <c r="B529" s="61" t="s">
        <v>280</v>
      </c>
    </row>
    <row r="530">
      <c r="A530" s="60">
        <v>46148.579351851855</v>
      </c>
      <c r="B530" s="61" t="s">
        <v>490</v>
      </c>
    </row>
    <row r="531">
      <c r="A531" s="60">
        <v>46148.579351851855</v>
      </c>
      <c r="B531" s="61" t="s">
        <v>282</v>
      </c>
    </row>
    <row r="532">
      <c r="A532" s="60">
        <v>46148.579375</v>
      </c>
      <c r="B532" s="61" t="s">
        <v>491</v>
      </c>
    </row>
    <row r="533">
      <c r="A533" s="60">
        <v>46148.57939814815</v>
      </c>
      <c r="B533" s="61" t="s">
        <v>492</v>
      </c>
    </row>
    <row r="534">
      <c r="A534" s="60">
        <v>46148.69721064815</v>
      </c>
      <c r="B534" s="61" t="s">
        <v>266</v>
      </c>
    </row>
    <row r="535">
      <c r="A535" s="60">
        <v>46148.697222222225</v>
      </c>
      <c r="B535" s="61" t="s">
        <v>267</v>
      </c>
    </row>
    <row r="536">
      <c r="A536" s="60">
        <v>46148.697233796294</v>
      </c>
      <c r="B536" s="61" t="s">
        <v>493</v>
      </c>
    </row>
    <row r="537">
      <c r="A537" s="60">
        <v>46148.697233796294</v>
      </c>
      <c r="B537" s="61" t="s">
        <v>269</v>
      </c>
    </row>
    <row r="538">
      <c r="A538" s="60">
        <v>46148.697233796294</v>
      </c>
      <c r="B538" s="61" t="s">
        <v>270</v>
      </c>
    </row>
    <row r="539">
      <c r="A539" s="60">
        <v>46148.697233796294</v>
      </c>
      <c r="B539" s="61" t="s">
        <v>494</v>
      </c>
    </row>
    <row r="540">
      <c r="A540" s="60">
        <v>46148.697233796294</v>
      </c>
      <c r="B540" s="61" t="s">
        <v>272</v>
      </c>
    </row>
    <row r="541">
      <c r="A541" s="60">
        <v>46148.69724537037</v>
      </c>
      <c r="B541" s="61" t="s">
        <v>495</v>
      </c>
    </row>
    <row r="542">
      <c r="A542" s="60">
        <v>46148.69724537037</v>
      </c>
      <c r="B542" s="61" t="s">
        <v>274</v>
      </c>
    </row>
    <row r="543">
      <c r="A543" s="60">
        <v>46148.69724537037</v>
      </c>
      <c r="B543" s="61" t="s">
        <v>496</v>
      </c>
    </row>
    <row r="544">
      <c r="A544" s="60">
        <v>46148.69724537037</v>
      </c>
      <c r="B544" s="61" t="s">
        <v>276</v>
      </c>
    </row>
    <row r="545">
      <c r="A545" s="60">
        <v>46148.69725694445</v>
      </c>
      <c r="B545" s="61" t="s">
        <v>497</v>
      </c>
    </row>
    <row r="546">
      <c r="A546" s="60">
        <v>46148.69725694445</v>
      </c>
      <c r="B546" s="61" t="s">
        <v>278</v>
      </c>
    </row>
    <row r="547">
      <c r="A547" s="60">
        <v>46148.69725694445</v>
      </c>
      <c r="B547" s="61" t="s">
        <v>279</v>
      </c>
    </row>
    <row r="548">
      <c r="A548" s="60">
        <v>46148.69725694445</v>
      </c>
      <c r="B548" s="61" t="s">
        <v>280</v>
      </c>
    </row>
    <row r="549">
      <c r="A549" s="60">
        <v>46148.69726851852</v>
      </c>
      <c r="B549" s="61" t="s">
        <v>498</v>
      </c>
    </row>
    <row r="550">
      <c r="A550" s="60">
        <v>46148.69726851852</v>
      </c>
      <c r="B550" s="61" t="s">
        <v>282</v>
      </c>
    </row>
    <row r="551">
      <c r="A551" s="60">
        <v>46148.697291666664</v>
      </c>
      <c r="B551" s="61" t="s">
        <v>499</v>
      </c>
    </row>
    <row r="552">
      <c r="A552" s="60">
        <v>46148.69730324074</v>
      </c>
      <c r="B552" s="61" t="s">
        <v>500</v>
      </c>
    </row>
    <row r="553">
      <c r="A553" s="60">
        <v>46148.78104166667</v>
      </c>
      <c r="B553" s="61" t="s">
        <v>266</v>
      </c>
    </row>
    <row r="554">
      <c r="A554" s="60">
        <v>46148.78105324074</v>
      </c>
      <c r="B554" s="61" t="s">
        <v>267</v>
      </c>
    </row>
    <row r="555">
      <c r="A555" s="60">
        <v>46148.78105324074</v>
      </c>
      <c r="B555" s="61" t="s">
        <v>501</v>
      </c>
    </row>
    <row r="556">
      <c r="A556" s="60">
        <v>46148.781064814815</v>
      </c>
      <c r="B556" s="61" t="s">
        <v>269</v>
      </c>
    </row>
    <row r="557">
      <c r="A557" s="60">
        <v>46148.781064814815</v>
      </c>
      <c r="B557" s="61" t="s">
        <v>270</v>
      </c>
    </row>
    <row r="558">
      <c r="A558" s="60">
        <v>46148.781064814815</v>
      </c>
      <c r="B558" s="61" t="s">
        <v>502</v>
      </c>
    </row>
    <row r="559">
      <c r="A559" s="60">
        <v>46148.781064814815</v>
      </c>
      <c r="B559" s="61" t="s">
        <v>272</v>
      </c>
    </row>
    <row r="560">
      <c r="A560" s="60">
        <v>46148.78107638889</v>
      </c>
      <c r="B560" s="61" t="s">
        <v>503</v>
      </c>
    </row>
    <row r="561">
      <c r="A561" s="60">
        <v>46148.78107638889</v>
      </c>
      <c r="B561" s="61" t="s">
        <v>274</v>
      </c>
    </row>
    <row r="562">
      <c r="A562" s="60">
        <v>46148.78107638889</v>
      </c>
      <c r="B562" s="61" t="s">
        <v>504</v>
      </c>
    </row>
    <row r="563">
      <c r="A563" s="60">
        <v>46148.78107638889</v>
      </c>
      <c r="B563" s="61" t="s">
        <v>276</v>
      </c>
    </row>
    <row r="564">
      <c r="A564" s="60">
        <v>46148.78108796296</v>
      </c>
      <c r="B564" s="61" t="s">
        <v>505</v>
      </c>
    </row>
    <row r="565">
      <c r="A565" s="60">
        <v>46148.78109953704</v>
      </c>
      <c r="B565" s="61" t="s">
        <v>278</v>
      </c>
    </row>
    <row r="566">
      <c r="A566" s="60">
        <v>46148.78111111111</v>
      </c>
      <c r="B566" s="61" t="s">
        <v>279</v>
      </c>
    </row>
    <row r="567">
      <c r="A567" s="60">
        <v>46148.78111111111</v>
      </c>
      <c r="B567" s="61" t="s">
        <v>280</v>
      </c>
    </row>
    <row r="568">
      <c r="A568" s="60">
        <v>46148.78111111111</v>
      </c>
      <c r="B568" s="61" t="s">
        <v>506</v>
      </c>
    </row>
    <row r="569">
      <c r="A569" s="60">
        <v>46148.78111111111</v>
      </c>
      <c r="B569" s="61" t="s">
        <v>282</v>
      </c>
    </row>
    <row r="570">
      <c r="A570" s="60">
        <v>46148.78114583333</v>
      </c>
      <c r="B570" s="61" t="s">
        <v>507</v>
      </c>
    </row>
    <row r="571">
      <c r="A571" s="60">
        <v>46148.78114583333</v>
      </c>
      <c r="B571" s="61" t="s">
        <v>508</v>
      </c>
    </row>
    <row r="572">
      <c r="A572" s="60">
        <v>46148.92601851852</v>
      </c>
      <c r="B572" s="61" t="s">
        <v>266</v>
      </c>
    </row>
    <row r="573">
      <c r="A573" s="60">
        <v>46148.92601851852</v>
      </c>
      <c r="B573" s="61" t="s">
        <v>267</v>
      </c>
    </row>
    <row r="574">
      <c r="A574" s="60">
        <v>46148.926030092596</v>
      </c>
      <c r="B574" s="61" t="s">
        <v>509</v>
      </c>
    </row>
    <row r="575">
      <c r="A575" s="60">
        <v>46148.926030092596</v>
      </c>
      <c r="B575" s="61" t="s">
        <v>286</v>
      </c>
    </row>
    <row r="576">
      <c r="A576" s="60">
        <v>46148.926030092596</v>
      </c>
      <c r="B576" s="61" t="s">
        <v>270</v>
      </c>
    </row>
    <row r="577">
      <c r="A577" s="60">
        <v>46148.926030092596</v>
      </c>
      <c r="B577" s="61" t="s">
        <v>510</v>
      </c>
    </row>
    <row r="578">
      <c r="A578" s="60">
        <v>46148.926030092596</v>
      </c>
      <c r="B578" s="61" t="s">
        <v>272</v>
      </c>
    </row>
    <row r="579">
      <c r="A579" s="60">
        <v>46148.926030092596</v>
      </c>
      <c r="B579" s="61" t="s">
        <v>511</v>
      </c>
    </row>
    <row r="580">
      <c r="A580" s="60">
        <v>46148.926041666666</v>
      </c>
      <c r="B580" s="61" t="s">
        <v>274</v>
      </c>
    </row>
    <row r="581">
      <c r="A581" s="60">
        <v>46148.926041666666</v>
      </c>
      <c r="B581" s="61" t="s">
        <v>512</v>
      </c>
    </row>
    <row r="582">
      <c r="A582" s="60">
        <v>46148.926041666666</v>
      </c>
      <c r="B582" s="61" t="s">
        <v>276</v>
      </c>
    </row>
    <row r="583">
      <c r="A583" s="60">
        <v>46148.92605324074</v>
      </c>
      <c r="B583" s="61" t="s">
        <v>513</v>
      </c>
    </row>
    <row r="584">
      <c r="A584" s="60">
        <v>46148.92605324074</v>
      </c>
      <c r="B584" s="61" t="s">
        <v>278</v>
      </c>
    </row>
    <row r="585">
      <c r="A585" s="60">
        <v>46148.92605324074</v>
      </c>
      <c r="B585" s="61" t="s">
        <v>279</v>
      </c>
    </row>
    <row r="586">
      <c r="A586" s="60">
        <v>46148.92605324074</v>
      </c>
      <c r="B586" s="61" t="s">
        <v>280</v>
      </c>
    </row>
    <row r="587">
      <c r="A587" s="60">
        <v>46148.92606481481</v>
      </c>
      <c r="B587" s="61" t="s">
        <v>514</v>
      </c>
    </row>
    <row r="588">
      <c r="A588" s="60">
        <v>46148.92607638889</v>
      </c>
      <c r="B588" s="61" t="s">
        <v>282</v>
      </c>
    </row>
    <row r="589">
      <c r="A589" s="60">
        <v>46148.926087962966</v>
      </c>
      <c r="B589" s="61" t="s">
        <v>515</v>
      </c>
    </row>
    <row r="590">
      <c r="A590" s="60">
        <v>46148.92611111111</v>
      </c>
      <c r="B590" s="61" t="s">
        <v>516</v>
      </c>
    </row>
    <row r="591">
      <c r="A591" s="60">
        <v>46149.30547453704</v>
      </c>
      <c r="B591" s="61" t="s">
        <v>266</v>
      </c>
    </row>
    <row r="592">
      <c r="A592" s="60">
        <v>46149.30547453704</v>
      </c>
      <c r="B592" s="61" t="s">
        <v>267</v>
      </c>
    </row>
    <row r="593">
      <c r="A593" s="60">
        <v>46149.30548611111</v>
      </c>
      <c r="B593" s="61" t="s">
        <v>517</v>
      </c>
    </row>
    <row r="594">
      <c r="A594" s="60">
        <v>46149.305497685185</v>
      </c>
      <c r="B594" s="61" t="s">
        <v>286</v>
      </c>
    </row>
    <row r="595">
      <c r="A595" s="60">
        <v>46149.305497685185</v>
      </c>
      <c r="B595" s="61" t="s">
        <v>270</v>
      </c>
    </row>
    <row r="596">
      <c r="A596" s="60">
        <v>46149.305497685185</v>
      </c>
      <c r="B596" s="61" t="s">
        <v>518</v>
      </c>
    </row>
    <row r="597">
      <c r="A597" s="60">
        <v>46149.305497685185</v>
      </c>
      <c r="B597" s="61" t="s">
        <v>272</v>
      </c>
    </row>
    <row r="598">
      <c r="A598" s="60">
        <v>46149.305497685185</v>
      </c>
      <c r="B598" s="61" t="s">
        <v>519</v>
      </c>
    </row>
    <row r="599">
      <c r="A599" s="60">
        <v>46149.30550925926</v>
      </c>
      <c r="B599" s="61" t="s">
        <v>274</v>
      </c>
    </row>
    <row r="600">
      <c r="A600" s="60">
        <v>46149.30550925926</v>
      </c>
      <c r="B600" s="61" t="s">
        <v>520</v>
      </c>
    </row>
    <row r="601">
      <c r="A601" s="60">
        <v>46149.30550925926</v>
      </c>
      <c r="B601" s="61" t="s">
        <v>276</v>
      </c>
    </row>
    <row r="602">
      <c r="A602" s="60">
        <v>46149.30550925926</v>
      </c>
      <c r="B602" s="61" t="s">
        <v>521</v>
      </c>
    </row>
    <row r="603">
      <c r="A603" s="60">
        <v>46149.30550925926</v>
      </c>
      <c r="B603" s="61" t="s">
        <v>278</v>
      </c>
    </row>
    <row r="604">
      <c r="A604" s="60">
        <v>46149.30552083333</v>
      </c>
      <c r="B604" s="61" t="s">
        <v>279</v>
      </c>
    </row>
    <row r="605">
      <c r="A605" s="60">
        <v>46149.30552083333</v>
      </c>
      <c r="B605" s="61" t="s">
        <v>280</v>
      </c>
    </row>
    <row r="606">
      <c r="A606" s="60">
        <v>46149.30553240741</v>
      </c>
      <c r="B606" s="61" t="s">
        <v>522</v>
      </c>
    </row>
    <row r="607">
      <c r="A607" s="60">
        <v>46149.30553240741</v>
      </c>
      <c r="B607" s="61" t="s">
        <v>282</v>
      </c>
    </row>
    <row r="608">
      <c r="A608" s="60">
        <v>46149.305555555555</v>
      </c>
      <c r="B608" s="61" t="s">
        <v>523</v>
      </c>
    </row>
    <row r="609">
      <c r="A609" s="60">
        <v>46149.30556712963</v>
      </c>
      <c r="B609" s="61" t="s">
        <v>524</v>
      </c>
    </row>
    <row r="610">
      <c r="A610" s="60">
        <v>46149.36592592593</v>
      </c>
      <c r="B610" s="61" t="s">
        <v>266</v>
      </c>
    </row>
    <row r="611">
      <c r="A611" s="60">
        <v>46149.36592592593</v>
      </c>
      <c r="B611" s="61" t="s">
        <v>267</v>
      </c>
    </row>
    <row r="612">
      <c r="A612" s="60">
        <v>46149.3659375</v>
      </c>
      <c r="B612" s="61" t="s">
        <v>525</v>
      </c>
    </row>
    <row r="613">
      <c r="A613" s="60">
        <v>46149.3659375</v>
      </c>
      <c r="B613" s="61" t="s">
        <v>286</v>
      </c>
    </row>
    <row r="614">
      <c r="A614" s="60">
        <v>46149.3659375</v>
      </c>
      <c r="B614" s="61" t="s">
        <v>270</v>
      </c>
    </row>
    <row r="615">
      <c r="A615" s="60">
        <v>46149.3659375</v>
      </c>
      <c r="B615" s="61" t="s">
        <v>526</v>
      </c>
    </row>
    <row r="616">
      <c r="A616" s="60">
        <v>46149.365949074076</v>
      </c>
      <c r="B616" s="61" t="s">
        <v>373</v>
      </c>
    </row>
    <row r="617">
      <c r="A617" s="60">
        <v>46149.365949074076</v>
      </c>
      <c r="B617" s="61" t="s">
        <v>527</v>
      </c>
    </row>
    <row r="618">
      <c r="A618" s="60">
        <v>46149.365949074076</v>
      </c>
      <c r="B618" s="61" t="s">
        <v>274</v>
      </c>
    </row>
    <row r="619">
      <c r="A619" s="60">
        <v>46149.365949074076</v>
      </c>
      <c r="B619" s="61" t="s">
        <v>528</v>
      </c>
    </row>
    <row r="620">
      <c r="A620" s="60">
        <v>46149.365960648145</v>
      </c>
      <c r="B620" s="61" t="s">
        <v>376</v>
      </c>
    </row>
    <row r="621">
      <c r="A621" s="60">
        <v>46149.365960648145</v>
      </c>
      <c r="B621" s="61" t="s">
        <v>529</v>
      </c>
    </row>
    <row r="622">
      <c r="A622" s="60">
        <v>46149.365960648145</v>
      </c>
      <c r="B622" s="61" t="s">
        <v>278</v>
      </c>
    </row>
    <row r="623">
      <c r="A623" s="60">
        <v>46149.365960648145</v>
      </c>
      <c r="B623" s="61" t="s">
        <v>279</v>
      </c>
    </row>
    <row r="624">
      <c r="A624" s="60">
        <v>46149.36597222222</v>
      </c>
      <c r="B624" s="61" t="s">
        <v>280</v>
      </c>
    </row>
    <row r="625">
      <c r="A625" s="60">
        <v>46149.36597222222</v>
      </c>
      <c r="B625" s="61" t="s">
        <v>530</v>
      </c>
    </row>
    <row r="626">
      <c r="A626" s="60">
        <v>46149.36597222222</v>
      </c>
      <c r="B626" s="61" t="s">
        <v>282</v>
      </c>
    </row>
    <row r="627">
      <c r="A627" s="60">
        <v>46149.36599537037</v>
      </c>
      <c r="B627" s="61" t="s">
        <v>531</v>
      </c>
    </row>
    <row r="628">
      <c r="A628" s="60">
        <v>46149.366006944445</v>
      </c>
      <c r="B628" s="61" t="s">
        <v>532</v>
      </c>
    </row>
    <row r="629">
      <c r="A629" s="60">
        <v>46150.93173611111</v>
      </c>
      <c r="B629" s="61" t="s">
        <v>266</v>
      </c>
    </row>
    <row r="630">
      <c r="A630" s="60">
        <v>46150.93173611111</v>
      </c>
      <c r="B630" s="61" t="s">
        <v>267</v>
      </c>
    </row>
    <row r="631">
      <c r="A631" s="60">
        <v>46150.93174768519</v>
      </c>
      <c r="B631" s="61" t="s">
        <v>533</v>
      </c>
    </row>
    <row r="632">
      <c r="A632" s="60">
        <v>46150.93174768519</v>
      </c>
      <c r="B632" s="61" t="s">
        <v>286</v>
      </c>
    </row>
    <row r="633">
      <c r="A633" s="60">
        <v>46150.931759259256</v>
      </c>
      <c r="B633" s="61" t="s">
        <v>270</v>
      </c>
    </row>
    <row r="634">
      <c r="A634" s="60">
        <v>46150.931759259256</v>
      </c>
      <c r="B634" s="61" t="s">
        <v>534</v>
      </c>
    </row>
    <row r="635">
      <c r="A635" s="60">
        <v>46150.93177083333</v>
      </c>
      <c r="B635" s="61" t="s">
        <v>272</v>
      </c>
    </row>
    <row r="636">
      <c r="A636" s="60">
        <v>46150.93177083333</v>
      </c>
      <c r="B636" s="61" t="s">
        <v>535</v>
      </c>
    </row>
    <row r="637">
      <c r="A637" s="60">
        <v>46150.93178240741</v>
      </c>
      <c r="B637" s="61" t="s">
        <v>274</v>
      </c>
    </row>
    <row r="638">
      <c r="A638" s="60">
        <v>46150.93178240741</v>
      </c>
      <c r="B638" s="61" t="s">
        <v>536</v>
      </c>
    </row>
    <row r="639">
      <c r="A639" s="60">
        <v>46150.93178240741</v>
      </c>
      <c r="B639" s="61" t="s">
        <v>276</v>
      </c>
    </row>
    <row r="640">
      <c r="A640" s="60">
        <v>46150.93179398148</v>
      </c>
      <c r="B640" s="61" t="s">
        <v>537</v>
      </c>
    </row>
    <row r="641">
      <c r="A641" s="60">
        <v>46150.93179398148</v>
      </c>
      <c r="B641" s="61" t="s">
        <v>278</v>
      </c>
    </row>
    <row r="642">
      <c r="A642" s="60">
        <v>46150.931805555556</v>
      </c>
      <c r="B642" s="61" t="s">
        <v>279</v>
      </c>
    </row>
    <row r="643">
      <c r="A643" s="60">
        <v>46150.931805555556</v>
      </c>
      <c r="B643" s="61" t="s">
        <v>280</v>
      </c>
    </row>
    <row r="644">
      <c r="A644" s="60">
        <v>46150.931805555556</v>
      </c>
      <c r="B644" s="61" t="s">
        <v>538</v>
      </c>
    </row>
    <row r="645">
      <c r="A645" s="60">
        <v>46150.931805555556</v>
      </c>
      <c r="B645" s="61" t="s">
        <v>282</v>
      </c>
    </row>
    <row r="646">
      <c r="A646" s="60">
        <v>46150.9318287037</v>
      </c>
      <c r="B646" s="61" t="s">
        <v>539</v>
      </c>
    </row>
    <row r="647">
      <c r="A647" s="60">
        <v>46150.93184027778</v>
      </c>
      <c r="B647" s="61" t="s">
        <v>540</v>
      </c>
    </row>
    <row r="648">
      <c r="A648" s="60">
        <v>46151.55982638889</v>
      </c>
      <c r="B648" s="61" t="s">
        <v>266</v>
      </c>
    </row>
    <row r="649">
      <c r="A649" s="60">
        <v>46151.55983796297</v>
      </c>
      <c r="B649" s="61" t="s">
        <v>267</v>
      </c>
    </row>
    <row r="650">
      <c r="A650" s="60">
        <v>46151.55983796297</v>
      </c>
      <c r="B650" s="61" t="s">
        <v>541</v>
      </c>
    </row>
    <row r="651">
      <c r="A651" s="60">
        <v>46151.55983796297</v>
      </c>
      <c r="B651" s="61" t="s">
        <v>286</v>
      </c>
    </row>
    <row r="652">
      <c r="A652" s="60">
        <v>46151.55983796297</v>
      </c>
      <c r="B652" s="61" t="s">
        <v>270</v>
      </c>
    </row>
    <row r="653">
      <c r="A653" s="60">
        <v>46151.559849537036</v>
      </c>
      <c r="B653" s="61" t="s">
        <v>542</v>
      </c>
    </row>
    <row r="654">
      <c r="A654" s="60">
        <v>46151.559849537036</v>
      </c>
      <c r="B654" s="61" t="s">
        <v>272</v>
      </c>
    </row>
    <row r="655">
      <c r="A655" s="60">
        <v>46151.559849537036</v>
      </c>
      <c r="B655" s="61" t="s">
        <v>543</v>
      </c>
    </row>
    <row r="656">
      <c r="A656" s="60">
        <v>46151.559849537036</v>
      </c>
      <c r="B656" s="61" t="s">
        <v>274</v>
      </c>
    </row>
    <row r="657">
      <c r="A657" s="60">
        <v>46151.559849537036</v>
      </c>
      <c r="B657" s="61" t="s">
        <v>544</v>
      </c>
    </row>
    <row r="658">
      <c r="A658" s="60">
        <v>46151.55986111111</v>
      </c>
      <c r="B658" s="61" t="s">
        <v>276</v>
      </c>
    </row>
    <row r="659">
      <c r="A659" s="60">
        <v>46151.55986111111</v>
      </c>
      <c r="B659" s="61" t="s">
        <v>545</v>
      </c>
    </row>
    <row r="660">
      <c r="A660" s="60">
        <v>46151.55986111111</v>
      </c>
      <c r="B660" s="61" t="s">
        <v>278</v>
      </c>
    </row>
    <row r="661">
      <c r="A661" s="60">
        <v>46151.55986111111</v>
      </c>
      <c r="B661" s="61" t="s">
        <v>279</v>
      </c>
    </row>
    <row r="662">
      <c r="A662" s="60">
        <v>46151.55986111111</v>
      </c>
      <c r="B662" s="61" t="s">
        <v>280</v>
      </c>
    </row>
    <row r="663">
      <c r="A663" s="60">
        <v>46151.55987268518</v>
      </c>
      <c r="B663" s="61" t="s">
        <v>546</v>
      </c>
    </row>
    <row r="664">
      <c r="A664" s="60">
        <v>46151.55987268518</v>
      </c>
      <c r="B664" s="61" t="s">
        <v>282</v>
      </c>
    </row>
    <row r="665">
      <c r="A665" s="60">
        <v>46151.559895833336</v>
      </c>
      <c r="B665" s="61" t="s">
        <v>547</v>
      </c>
    </row>
    <row r="666">
      <c r="A666" s="60">
        <v>46151.559907407405</v>
      </c>
      <c r="B666" s="61" t="s">
        <v>548</v>
      </c>
    </row>
    <row r="667">
      <c r="A667" s="60">
        <v>46151.6603125</v>
      </c>
      <c r="B667" s="61" t="s">
        <v>266</v>
      </c>
    </row>
    <row r="668">
      <c r="A668" s="60">
        <v>46151.6603125</v>
      </c>
      <c r="B668" s="61" t="s">
        <v>267</v>
      </c>
    </row>
    <row r="669">
      <c r="A669" s="60">
        <v>46151.6603125</v>
      </c>
      <c r="B669" s="61" t="s">
        <v>549</v>
      </c>
    </row>
    <row r="670">
      <c r="A670" s="60">
        <v>46151.66032407407</v>
      </c>
      <c r="B670" s="61" t="s">
        <v>286</v>
      </c>
    </row>
    <row r="671">
      <c r="A671" s="60">
        <v>46151.66032407407</v>
      </c>
      <c r="B671" s="61" t="s">
        <v>270</v>
      </c>
    </row>
    <row r="672">
      <c r="A672" s="60">
        <v>46151.66032407407</v>
      </c>
      <c r="B672" s="61" t="s">
        <v>550</v>
      </c>
    </row>
    <row r="673">
      <c r="A673" s="60">
        <v>46151.66032407407</v>
      </c>
      <c r="B673" s="61" t="s">
        <v>272</v>
      </c>
    </row>
    <row r="674">
      <c r="A674" s="60">
        <v>46151.66033564815</v>
      </c>
      <c r="B674" s="61" t="s">
        <v>551</v>
      </c>
    </row>
    <row r="675">
      <c r="A675" s="60">
        <v>46151.66033564815</v>
      </c>
      <c r="B675" s="61" t="s">
        <v>274</v>
      </c>
    </row>
    <row r="676">
      <c r="A676" s="60">
        <v>46151.66034722222</v>
      </c>
      <c r="B676" s="61" t="s">
        <v>552</v>
      </c>
    </row>
    <row r="677">
      <c r="A677" s="60">
        <v>46151.66034722222</v>
      </c>
      <c r="B677" s="61" t="s">
        <v>276</v>
      </c>
    </row>
    <row r="678">
      <c r="A678" s="60">
        <v>46151.66034722222</v>
      </c>
      <c r="B678" s="61" t="s">
        <v>553</v>
      </c>
    </row>
    <row r="679">
      <c r="A679" s="60">
        <v>46151.66034722222</v>
      </c>
      <c r="B679" s="61" t="s">
        <v>278</v>
      </c>
    </row>
    <row r="680">
      <c r="A680" s="60">
        <v>46151.660358796296</v>
      </c>
      <c r="B680" s="61" t="s">
        <v>279</v>
      </c>
    </row>
    <row r="681">
      <c r="A681" s="60">
        <v>46151.660358796296</v>
      </c>
      <c r="B681" s="61" t="s">
        <v>280</v>
      </c>
    </row>
    <row r="682">
      <c r="A682" s="60">
        <v>46151.66037037037</v>
      </c>
      <c r="B682" s="61" t="s">
        <v>554</v>
      </c>
    </row>
    <row r="683">
      <c r="A683" s="60">
        <v>46151.66038194444</v>
      </c>
      <c r="B683" s="61" t="s">
        <v>282</v>
      </c>
    </row>
    <row r="684">
      <c r="A684" s="60">
        <v>46151.660405092596</v>
      </c>
      <c r="B684" s="61" t="s">
        <v>555</v>
      </c>
    </row>
    <row r="685">
      <c r="A685" s="60">
        <v>46151.660416666666</v>
      </c>
      <c r="B685" s="61" t="s">
        <v>556</v>
      </c>
    </row>
    <row r="686">
      <c r="A686" s="60">
        <v>46152.67224537037</v>
      </c>
      <c r="B686" s="61" t="s">
        <v>266</v>
      </c>
    </row>
    <row r="687">
      <c r="A687" s="60">
        <v>46152.67224537037</v>
      </c>
      <c r="B687" s="61" t="s">
        <v>267</v>
      </c>
    </row>
    <row r="688">
      <c r="A688" s="60">
        <v>46152.67225694445</v>
      </c>
      <c r="B688" s="61" t="s">
        <v>557</v>
      </c>
    </row>
    <row r="689">
      <c r="A689" s="60">
        <v>46152.67225694445</v>
      </c>
      <c r="B689" s="61" t="s">
        <v>286</v>
      </c>
    </row>
    <row r="690">
      <c r="A690" s="60">
        <v>46152.672268518516</v>
      </c>
      <c r="B690" s="61" t="s">
        <v>270</v>
      </c>
    </row>
    <row r="691">
      <c r="A691" s="60">
        <v>46152.672268518516</v>
      </c>
      <c r="B691" s="61" t="s">
        <v>558</v>
      </c>
    </row>
    <row r="692">
      <c r="A692" s="60">
        <v>46152.672268518516</v>
      </c>
      <c r="B692" s="61" t="s">
        <v>272</v>
      </c>
    </row>
    <row r="693">
      <c r="A693" s="60">
        <v>46152.67228009259</v>
      </c>
      <c r="B693" s="61" t="s">
        <v>559</v>
      </c>
    </row>
    <row r="694">
      <c r="A694" s="60">
        <v>46152.67228009259</v>
      </c>
      <c r="B694" s="61" t="s">
        <v>274</v>
      </c>
    </row>
    <row r="695">
      <c r="A695" s="60">
        <v>46152.67228009259</v>
      </c>
      <c r="B695" s="61" t="s">
        <v>560</v>
      </c>
    </row>
    <row r="696">
      <c r="A696" s="60">
        <v>46152.67229166667</v>
      </c>
      <c r="B696" s="61" t="s">
        <v>276</v>
      </c>
    </row>
    <row r="697">
      <c r="A697" s="60">
        <v>46152.67229166667</v>
      </c>
      <c r="B697" s="61" t="s">
        <v>561</v>
      </c>
    </row>
    <row r="698">
      <c r="A698" s="60">
        <v>46152.67229166667</v>
      </c>
      <c r="B698" s="61" t="s">
        <v>278</v>
      </c>
    </row>
    <row r="699">
      <c r="A699" s="60">
        <v>46152.67229166667</v>
      </c>
      <c r="B699" s="61" t="s">
        <v>279</v>
      </c>
    </row>
    <row r="700">
      <c r="A700" s="60">
        <v>46152.67230324074</v>
      </c>
      <c r="B700" s="61" t="s">
        <v>280</v>
      </c>
    </row>
    <row r="701">
      <c r="A701" s="60">
        <v>46152.67230324074</v>
      </c>
      <c r="B701" s="61" t="s">
        <v>562</v>
      </c>
    </row>
    <row r="702">
      <c r="A702" s="60">
        <v>46152.67230324074</v>
      </c>
      <c r="B702" s="61" t="s">
        <v>282</v>
      </c>
    </row>
    <row r="703">
      <c r="A703" s="60">
        <v>46152.672326388885</v>
      </c>
      <c r="B703" s="61" t="s">
        <v>563</v>
      </c>
    </row>
    <row r="704">
      <c r="A704" s="60">
        <v>46152.67233796296</v>
      </c>
      <c r="B704" s="61" t="s">
        <v>564</v>
      </c>
    </row>
    <row r="705">
      <c r="A705" s="60">
        <v>46152.729375</v>
      </c>
      <c r="B705" s="61" t="s">
        <v>266</v>
      </c>
    </row>
    <row r="706">
      <c r="A706" s="60">
        <v>46152.72938657407</v>
      </c>
      <c r="B706" s="61" t="s">
        <v>267</v>
      </c>
    </row>
    <row r="707">
      <c r="A707" s="60">
        <v>46152.72938657407</v>
      </c>
      <c r="B707" s="61" t="s">
        <v>565</v>
      </c>
    </row>
    <row r="708">
      <c r="A708" s="60">
        <v>46152.72938657407</v>
      </c>
      <c r="B708" s="61" t="s">
        <v>269</v>
      </c>
    </row>
    <row r="709">
      <c r="A709" s="60">
        <v>46152.72938657407</v>
      </c>
      <c r="B709" s="61" t="s">
        <v>270</v>
      </c>
    </row>
    <row r="710">
      <c r="A710" s="60">
        <v>46152.72939814815</v>
      </c>
      <c r="B710" s="61" t="s">
        <v>566</v>
      </c>
    </row>
    <row r="711">
      <c r="A711" s="60">
        <v>46152.72939814815</v>
      </c>
      <c r="B711" s="61" t="s">
        <v>272</v>
      </c>
    </row>
    <row r="712">
      <c r="A712" s="60">
        <v>46152.72939814815</v>
      </c>
      <c r="B712" s="61" t="s">
        <v>567</v>
      </c>
    </row>
    <row r="713">
      <c r="A713" s="60">
        <v>46152.72939814815</v>
      </c>
      <c r="B713" s="61" t="s">
        <v>274</v>
      </c>
    </row>
    <row r="714">
      <c r="A714" s="60">
        <v>46152.72939814815</v>
      </c>
      <c r="B714" s="61" t="s">
        <v>568</v>
      </c>
    </row>
    <row r="715">
      <c r="A715" s="60">
        <v>46152.729409722226</v>
      </c>
      <c r="B715" s="61" t="s">
        <v>276</v>
      </c>
    </row>
    <row r="716">
      <c r="A716" s="60">
        <v>46152.729409722226</v>
      </c>
      <c r="B716" s="61" t="s">
        <v>569</v>
      </c>
    </row>
    <row r="717">
      <c r="A717" s="60">
        <v>46152.729409722226</v>
      </c>
      <c r="B717" s="61" t="s">
        <v>278</v>
      </c>
    </row>
    <row r="718">
      <c r="A718" s="60">
        <v>46152.729409722226</v>
      </c>
      <c r="B718" s="61" t="s">
        <v>279</v>
      </c>
    </row>
    <row r="719">
      <c r="A719" s="60">
        <v>46152.729421296295</v>
      </c>
      <c r="B719" s="61" t="s">
        <v>280</v>
      </c>
    </row>
    <row r="720">
      <c r="A720" s="60">
        <v>46152.729421296295</v>
      </c>
      <c r="B720" s="61" t="s">
        <v>570</v>
      </c>
    </row>
    <row r="721">
      <c r="A721" s="60">
        <v>46152.729421296295</v>
      </c>
      <c r="B721" s="61" t="s">
        <v>282</v>
      </c>
    </row>
    <row r="722">
      <c r="A722" s="60">
        <v>46152.72944444444</v>
      </c>
      <c r="B722" s="61" t="s">
        <v>571</v>
      </c>
    </row>
    <row r="723">
      <c r="A723" s="60">
        <v>46152.72945601852</v>
      </c>
      <c r="B723" s="61" t="s">
        <v>572</v>
      </c>
    </row>
    <row r="724">
      <c r="A724" s="60">
        <v>46152.99627314815</v>
      </c>
      <c r="B724" s="61" t="s">
        <v>266</v>
      </c>
    </row>
    <row r="725">
      <c r="A725" s="60">
        <v>46152.99627314815</v>
      </c>
      <c r="B725" s="61" t="s">
        <v>267</v>
      </c>
    </row>
    <row r="726">
      <c r="A726" s="60">
        <v>46152.99628472222</v>
      </c>
      <c r="B726" s="61" t="s">
        <v>573</v>
      </c>
    </row>
    <row r="727">
      <c r="A727" s="60">
        <v>46152.99628472222</v>
      </c>
      <c r="B727" s="61" t="s">
        <v>286</v>
      </c>
    </row>
    <row r="728">
      <c r="A728" s="60">
        <v>46152.996296296296</v>
      </c>
      <c r="B728" s="61" t="s">
        <v>270</v>
      </c>
    </row>
    <row r="729">
      <c r="A729" s="60">
        <v>46152.996296296296</v>
      </c>
      <c r="B729" s="61" t="s">
        <v>574</v>
      </c>
    </row>
    <row r="730">
      <c r="A730" s="60">
        <v>46152.996296296296</v>
      </c>
      <c r="B730" s="61" t="s">
        <v>272</v>
      </c>
    </row>
    <row r="731">
      <c r="A731" s="60">
        <v>46152.996296296296</v>
      </c>
      <c r="B731" s="61" t="s">
        <v>575</v>
      </c>
    </row>
    <row r="732">
      <c r="A732" s="60">
        <v>46152.99630787037</v>
      </c>
      <c r="B732" s="61" t="s">
        <v>274</v>
      </c>
    </row>
    <row r="733">
      <c r="A733" s="60">
        <v>46152.99630787037</v>
      </c>
      <c r="B733" s="61" t="s">
        <v>576</v>
      </c>
    </row>
    <row r="734">
      <c r="A734" s="60">
        <v>46152.99630787037</v>
      </c>
      <c r="B734" s="61" t="s">
        <v>276</v>
      </c>
    </row>
    <row r="735">
      <c r="A735" s="60">
        <v>46152.99630787037</v>
      </c>
      <c r="B735" s="61" t="s">
        <v>577</v>
      </c>
    </row>
    <row r="736">
      <c r="A736" s="60">
        <v>46152.99630787037</v>
      </c>
      <c r="B736" s="61" t="s">
        <v>278</v>
      </c>
    </row>
    <row r="737">
      <c r="A737" s="60">
        <v>46152.99631944444</v>
      </c>
      <c r="B737" s="61" t="s">
        <v>279</v>
      </c>
    </row>
    <row r="738">
      <c r="A738" s="60">
        <v>46152.99631944444</v>
      </c>
      <c r="B738" s="61" t="s">
        <v>280</v>
      </c>
    </row>
    <row r="739">
      <c r="A739" s="60">
        <v>46152.99631944444</v>
      </c>
      <c r="B739" s="61" t="s">
        <v>578</v>
      </c>
    </row>
    <row r="740">
      <c r="A740" s="60">
        <v>46152.99631944444</v>
      </c>
      <c r="B740" s="61" t="s">
        <v>282</v>
      </c>
    </row>
    <row r="741">
      <c r="A741" s="60">
        <v>46152.996342592596</v>
      </c>
      <c r="B741" s="61" t="s">
        <v>579</v>
      </c>
    </row>
    <row r="742">
      <c r="A742" s="60">
        <v>46152.996354166666</v>
      </c>
      <c r="B742" s="61" t="s">
        <v>580</v>
      </c>
    </row>
    <row r="743">
      <c r="A743" s="60">
        <v>46157.473958333336</v>
      </c>
      <c r="B743" s="61" t="s">
        <v>266</v>
      </c>
    </row>
    <row r="744">
      <c r="A744" s="60">
        <v>46157.473969907405</v>
      </c>
      <c r="B744" s="61" t="s">
        <v>267</v>
      </c>
    </row>
    <row r="745">
      <c r="A745" s="60">
        <v>46157.473969907405</v>
      </c>
      <c r="B745" s="61" t="s">
        <v>581</v>
      </c>
    </row>
    <row r="746">
      <c r="A746" s="60">
        <v>46157.47398148148</v>
      </c>
      <c r="B746" s="61" t="s">
        <v>286</v>
      </c>
    </row>
    <row r="747">
      <c r="A747" s="60">
        <v>46157.47398148148</v>
      </c>
      <c r="B747" s="61" t="s">
        <v>270</v>
      </c>
    </row>
    <row r="748">
      <c r="A748" s="60">
        <v>46157.47398148148</v>
      </c>
      <c r="B748" s="61" t="s">
        <v>582</v>
      </c>
    </row>
    <row r="749">
      <c r="A749" s="60">
        <v>46157.47398148148</v>
      </c>
      <c r="B749" s="61" t="s">
        <v>272</v>
      </c>
    </row>
    <row r="750">
      <c r="A750" s="60">
        <v>46157.47398148148</v>
      </c>
      <c r="B750" s="61" t="s">
        <v>583</v>
      </c>
    </row>
    <row r="751">
      <c r="A751" s="60">
        <v>46157.47399305556</v>
      </c>
      <c r="B751" s="61" t="s">
        <v>274</v>
      </c>
    </row>
    <row r="752">
      <c r="A752" s="60">
        <v>46157.47399305556</v>
      </c>
      <c r="B752" s="61" t="s">
        <v>584</v>
      </c>
    </row>
    <row r="753">
      <c r="A753" s="60">
        <v>46157.47399305556</v>
      </c>
      <c r="B753" s="61" t="s">
        <v>276</v>
      </c>
    </row>
    <row r="754">
      <c r="A754" s="60">
        <v>46157.47400462963</v>
      </c>
      <c r="B754" s="61" t="s">
        <v>585</v>
      </c>
    </row>
    <row r="755">
      <c r="A755" s="60">
        <v>46157.47400462963</v>
      </c>
      <c r="B755" s="61" t="s">
        <v>278</v>
      </c>
    </row>
    <row r="756">
      <c r="A756" s="60">
        <v>46157.474016203705</v>
      </c>
      <c r="B756" s="61" t="s">
        <v>279</v>
      </c>
    </row>
    <row r="757">
      <c r="A757" s="60">
        <v>46157.474016203705</v>
      </c>
      <c r="B757" s="61" t="s">
        <v>280</v>
      </c>
    </row>
    <row r="758">
      <c r="A758" s="60">
        <v>46157.474016203705</v>
      </c>
      <c r="B758" s="61" t="s">
        <v>586</v>
      </c>
    </row>
    <row r="759">
      <c r="A759" s="60">
        <v>46157.474016203705</v>
      </c>
      <c r="B759" s="61" t="s">
        <v>282</v>
      </c>
    </row>
    <row r="760">
      <c r="A760" s="60">
        <v>46157.474027777775</v>
      </c>
      <c r="B760" s="61" t="s">
        <v>587</v>
      </c>
    </row>
    <row r="761">
      <c r="A761" s="60">
        <v>46157.474074074074</v>
      </c>
      <c r="B761" s="61" t="s">
        <v>588</v>
      </c>
    </row>
    <row r="762">
      <c r="A762" s="60">
        <v>46158.32324074074</v>
      </c>
      <c r="B762" s="61" t="s">
        <v>266</v>
      </c>
    </row>
    <row r="763">
      <c r="A763" s="60">
        <v>46158.32324074074</v>
      </c>
      <c r="B763" s="61" t="s">
        <v>267</v>
      </c>
    </row>
    <row r="764">
      <c r="A764" s="60">
        <v>46158.32324074074</v>
      </c>
      <c r="B764" s="61" t="s">
        <v>589</v>
      </c>
    </row>
    <row r="765">
      <c r="A765" s="60">
        <v>46158.32325231482</v>
      </c>
      <c r="B765" s="61" t="s">
        <v>286</v>
      </c>
    </row>
    <row r="766">
      <c r="A766" s="60">
        <v>46158.32325231482</v>
      </c>
      <c r="B766" s="61" t="s">
        <v>270</v>
      </c>
    </row>
    <row r="767">
      <c r="A767" s="60">
        <v>46158.32326388889</v>
      </c>
      <c r="B767" s="61" t="s">
        <v>590</v>
      </c>
    </row>
    <row r="768">
      <c r="A768" s="60">
        <v>46158.32326388889</v>
      </c>
      <c r="B768" s="61" t="s">
        <v>373</v>
      </c>
    </row>
    <row r="769">
      <c r="A769" s="60">
        <v>46158.32326388889</v>
      </c>
      <c r="B769" s="61" t="s">
        <v>591</v>
      </c>
    </row>
    <row r="770">
      <c r="A770" s="60">
        <v>46158.32326388889</v>
      </c>
      <c r="B770" s="61" t="s">
        <v>274</v>
      </c>
    </row>
    <row r="771">
      <c r="A771" s="60">
        <v>46158.323275462964</v>
      </c>
      <c r="B771" s="61" t="s">
        <v>592</v>
      </c>
    </row>
    <row r="772">
      <c r="A772" s="60">
        <v>46158.323275462964</v>
      </c>
      <c r="B772" s="61" t="s">
        <v>376</v>
      </c>
    </row>
    <row r="773">
      <c r="A773" s="60">
        <v>46158.323275462964</v>
      </c>
      <c r="B773" s="61" t="s">
        <v>593</v>
      </c>
    </row>
    <row r="774">
      <c r="A774" s="60">
        <v>46158.323275462964</v>
      </c>
      <c r="B774" s="61" t="s">
        <v>278</v>
      </c>
    </row>
    <row r="775">
      <c r="A775" s="60">
        <v>46158.323287037034</v>
      </c>
      <c r="B775" s="61" t="s">
        <v>279</v>
      </c>
    </row>
    <row r="776">
      <c r="A776" s="60">
        <v>46158.323287037034</v>
      </c>
      <c r="B776" s="61" t="s">
        <v>280</v>
      </c>
    </row>
    <row r="777">
      <c r="A777" s="60">
        <v>46158.323287037034</v>
      </c>
      <c r="B777" s="61" t="s">
        <v>594</v>
      </c>
    </row>
    <row r="778">
      <c r="A778" s="60">
        <v>46158.323287037034</v>
      </c>
      <c r="B778" s="61" t="s">
        <v>282</v>
      </c>
    </row>
    <row r="779">
      <c r="A779" s="60">
        <v>46158.32331018519</v>
      </c>
      <c r="B779" s="61" t="s">
        <v>595</v>
      </c>
    </row>
    <row r="780">
      <c r="A780" s="60">
        <v>46158.32332175926</v>
      </c>
      <c r="B780" s="61" t="s">
        <v>596</v>
      </c>
    </row>
    <row r="781">
      <c r="A781" s="60">
        <v>46158.32373842593</v>
      </c>
      <c r="B781" s="61" t="s">
        <v>266</v>
      </c>
    </row>
    <row r="782">
      <c r="A782" s="60">
        <v>46158.32373842593</v>
      </c>
      <c r="B782" s="61" t="s">
        <v>267</v>
      </c>
    </row>
    <row r="783">
      <c r="A783" s="60">
        <v>46158.32375</v>
      </c>
      <c r="B783" s="61" t="s">
        <v>589</v>
      </c>
    </row>
    <row r="784">
      <c r="A784" s="60">
        <v>46158.32375</v>
      </c>
      <c r="B784" s="61" t="s">
        <v>286</v>
      </c>
    </row>
    <row r="785">
      <c r="A785" s="60">
        <v>46158.32375</v>
      </c>
      <c r="B785" s="61" t="s">
        <v>270</v>
      </c>
    </row>
    <row r="786">
      <c r="A786" s="60">
        <v>46158.32375</v>
      </c>
      <c r="B786" s="61" t="s">
        <v>590</v>
      </c>
    </row>
    <row r="787">
      <c r="A787" s="60">
        <v>46158.32376157407</v>
      </c>
      <c r="B787" s="61" t="s">
        <v>373</v>
      </c>
    </row>
    <row r="788">
      <c r="A788" s="60">
        <v>46158.32376157407</v>
      </c>
      <c r="B788" s="61" t="s">
        <v>591</v>
      </c>
    </row>
    <row r="789">
      <c r="A789" s="60">
        <v>46158.32376157407</v>
      </c>
      <c r="B789" s="61" t="s">
        <v>274</v>
      </c>
    </row>
    <row r="790">
      <c r="A790" s="60">
        <v>46158.32377314815</v>
      </c>
      <c r="B790" s="61" t="s">
        <v>592</v>
      </c>
    </row>
    <row r="791">
      <c r="A791" s="60">
        <v>46158.32377314815</v>
      </c>
      <c r="B791" s="61" t="s">
        <v>376</v>
      </c>
    </row>
    <row r="792">
      <c r="A792" s="60">
        <v>46158.32377314815</v>
      </c>
      <c r="B792" s="61" t="s">
        <v>593</v>
      </c>
    </row>
    <row r="793">
      <c r="A793" s="60">
        <v>46158.32377314815</v>
      </c>
      <c r="B793" s="61" t="s">
        <v>278</v>
      </c>
    </row>
    <row r="794">
      <c r="A794" s="60">
        <v>46158.32378472222</v>
      </c>
      <c r="B794" s="61" t="s">
        <v>279</v>
      </c>
    </row>
    <row r="795">
      <c r="A795" s="60">
        <v>46158.32378472222</v>
      </c>
      <c r="B795" s="61" t="s">
        <v>280</v>
      </c>
    </row>
    <row r="796">
      <c r="A796" s="60">
        <v>46158.32378472222</v>
      </c>
      <c r="B796" s="61" t="s">
        <v>594</v>
      </c>
    </row>
    <row r="797">
      <c r="A797" s="60">
        <v>46158.323796296296</v>
      </c>
      <c r="B797" s="61" t="s">
        <v>282</v>
      </c>
    </row>
    <row r="798">
      <c r="A798" s="60">
        <v>46158.32380787037</v>
      </c>
      <c r="B798" s="61" t="s">
        <v>597</v>
      </c>
    </row>
    <row r="799">
      <c r="A799" s="60">
        <v>46158.32381944444</v>
      </c>
      <c r="B799" s="61" t="s">
        <v>598</v>
      </c>
    </row>
    <row r="800">
      <c r="A800" s="60">
        <v>46158.329664351855</v>
      </c>
      <c r="B800" s="61" t="s">
        <v>266</v>
      </c>
    </row>
    <row r="801">
      <c r="A801" s="60">
        <v>46158.329664351855</v>
      </c>
      <c r="B801" s="61" t="s">
        <v>267</v>
      </c>
    </row>
    <row r="802">
      <c r="A802" s="60">
        <v>46158.329664351855</v>
      </c>
      <c r="B802" s="61" t="s">
        <v>599</v>
      </c>
    </row>
    <row r="803">
      <c r="A803" s="60">
        <v>46158.329675925925</v>
      </c>
      <c r="B803" s="61" t="s">
        <v>286</v>
      </c>
    </row>
    <row r="804">
      <c r="A804" s="60">
        <v>46158.329675925925</v>
      </c>
      <c r="B804" s="61" t="s">
        <v>270</v>
      </c>
    </row>
    <row r="805">
      <c r="A805" s="60">
        <v>46158.329675925925</v>
      </c>
      <c r="B805" s="61" t="s">
        <v>600</v>
      </c>
    </row>
    <row r="806">
      <c r="A806" s="60">
        <v>46158.3296875</v>
      </c>
      <c r="B806" s="61" t="s">
        <v>272</v>
      </c>
    </row>
    <row r="807">
      <c r="A807" s="60">
        <v>46158.3296875</v>
      </c>
      <c r="B807" s="61" t="s">
        <v>601</v>
      </c>
    </row>
    <row r="808">
      <c r="A808" s="60">
        <v>46158.3296875</v>
      </c>
      <c r="B808" s="61" t="s">
        <v>274</v>
      </c>
    </row>
    <row r="809">
      <c r="A809" s="60">
        <v>46158.3296875</v>
      </c>
      <c r="B809" s="61" t="s">
        <v>602</v>
      </c>
    </row>
    <row r="810">
      <c r="A810" s="60">
        <v>46158.32969907407</v>
      </c>
      <c r="B810" s="61" t="s">
        <v>276</v>
      </c>
    </row>
    <row r="811">
      <c r="A811" s="60">
        <v>46158.32969907407</v>
      </c>
      <c r="B811" s="61" t="s">
        <v>603</v>
      </c>
    </row>
    <row r="812">
      <c r="A812" s="60">
        <v>46158.32969907407</v>
      </c>
      <c r="B812" s="61" t="s">
        <v>278</v>
      </c>
    </row>
    <row r="813">
      <c r="A813" s="60">
        <v>46158.32971064815</v>
      </c>
      <c r="B813" s="61" t="s">
        <v>279</v>
      </c>
    </row>
    <row r="814">
      <c r="A814" s="60">
        <v>46158.32971064815</v>
      </c>
      <c r="B814" s="61" t="s">
        <v>280</v>
      </c>
    </row>
    <row r="815">
      <c r="A815" s="60">
        <v>46158.32971064815</v>
      </c>
      <c r="B815" s="61" t="s">
        <v>604</v>
      </c>
    </row>
    <row r="816">
      <c r="A816" s="60">
        <v>46158.329722222225</v>
      </c>
      <c r="B816" s="61" t="s">
        <v>282</v>
      </c>
    </row>
    <row r="817">
      <c r="A817" s="60">
        <v>46158.329733796294</v>
      </c>
      <c r="B817" s="61" t="s">
        <v>605</v>
      </c>
    </row>
    <row r="818">
      <c r="A818" s="60">
        <v>46158.32975694445</v>
      </c>
      <c r="B818" s="61" t="s">
        <v>606</v>
      </c>
    </row>
  </sheetData>
  <drawing r:id="rId1"/>
</worksheet>
</file>