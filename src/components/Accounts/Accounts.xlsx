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<sst xmlns="http://schemas.openxmlformats.org/spreadsheetml/2006/main" count="367" uniqueCount="167">
  <si>
    <t>1st July</t>
  </si>
  <si>
    <t>2nd July</t>
  </si>
  <si>
    <t>3rd July</t>
  </si>
  <si>
    <t>4th July</t>
  </si>
  <si>
    <t>5th July</t>
  </si>
  <si>
    <t>Accounts</t>
  </si>
  <si>
    <t>Devotee Name</t>
  </si>
  <si>
    <t>Number</t>
  </si>
  <si>
    <t>Individual Name</t>
  </si>
  <si>
    <t>Age</t>
  </si>
  <si>
    <t>B</t>
  </si>
  <si>
    <t>L</t>
  </si>
  <si>
    <t>D</t>
  </si>
  <si>
    <t>Room</t>
  </si>
  <si>
    <t>1st Installment</t>
  </si>
  <si>
    <t>Pending</t>
  </si>
  <si>
    <t>Krishna Kishore Prabhu</t>
  </si>
  <si>
    <t>AC</t>
  </si>
  <si>
    <t>Kiranmai Pola Mataji</t>
  </si>
  <si>
    <t>Abhishek Pola Prabhu</t>
  </si>
  <si>
    <t>Maheedhar Prabhu</t>
  </si>
  <si>
    <t>Non AC</t>
  </si>
  <si>
    <t>Amal Mahaprabhu Prabhu</t>
  </si>
  <si>
    <t>Svarupa Radhika Mataji</t>
  </si>
  <si>
    <t>Manirupa Gopika Mataji</t>
  </si>
  <si>
    <t>Advaita Praana Dasa (Abhishek Mantha)</t>
  </si>
  <si>
    <t>Advaita Praana Prabhu</t>
  </si>
  <si>
    <t>Sarasija Mataji</t>
  </si>
  <si>
    <t>Saloni Kumari Mataji</t>
  </si>
  <si>
    <t>Ninad Rajandekar Prabhu</t>
  </si>
  <si>
    <t>Ajey Rajandekar Prabhu</t>
  </si>
  <si>
    <t>Bhakti Rajandekar Mataji</t>
  </si>
  <si>
    <t>VVN Sai Lokesh Prabhu</t>
  </si>
  <si>
    <t>V Kavya Mataji</t>
  </si>
  <si>
    <t>VSNS Appa Rao Prabhu</t>
  </si>
  <si>
    <t>V Venkata Lakshni Mataji</t>
  </si>
  <si>
    <t>Sai Dheeraj Prabhu</t>
  </si>
  <si>
    <t>Sreenivas Gupta Prabhu</t>
  </si>
  <si>
    <t>Vishnu Priyanka Mataji</t>
  </si>
  <si>
    <t>Naga Varun Prabhu</t>
  </si>
  <si>
    <t>Manisha K Mataji</t>
  </si>
  <si>
    <t>Vignesh Prabhu</t>
  </si>
  <si>
    <t>Santhosh Murarikar Prabhu</t>
  </si>
  <si>
    <t>Jansi Bai Murarikar Mataji</t>
  </si>
  <si>
    <t>Vanshika Murarikar</t>
  </si>
  <si>
    <t>Chaitrika Murarikar</t>
  </si>
  <si>
    <t>Anika Murarikar</t>
  </si>
  <si>
    <t>Neeraj Alavelli Prabhu</t>
  </si>
  <si>
    <t>Kritesh Prabhu</t>
  </si>
  <si>
    <t>Divya Mataji</t>
  </si>
  <si>
    <t>Gopalkrishna Prabhu</t>
  </si>
  <si>
    <t>Vivek Prabhu</t>
  </si>
  <si>
    <t>Acyuta Kishor Prabhu</t>
  </si>
  <si>
    <t>Vraja Premika Mataji</t>
  </si>
  <si>
    <t xml:space="preserve">Manjaree </t>
  </si>
  <si>
    <t>Vrajesh Tanay Prabhu</t>
  </si>
  <si>
    <t>Rama Satyavathi Mataji</t>
  </si>
  <si>
    <t>Vijay Mukesh Prabhu</t>
  </si>
  <si>
    <t>Amoghaveerya Prabhu</t>
  </si>
  <si>
    <t>Maheswari Mataji</t>
  </si>
  <si>
    <t>Kishori Radha</t>
  </si>
  <si>
    <t>E Rani Mataji</t>
  </si>
  <si>
    <t>Ch Ravi Varma Prabhu</t>
  </si>
  <si>
    <t>Ch Srivalli Mataji</t>
  </si>
  <si>
    <t>Ch Meenakshi</t>
  </si>
  <si>
    <t>Ch Radha Bruhathi</t>
  </si>
  <si>
    <t>Sitanatha Prasada Prabhu</t>
  </si>
  <si>
    <t>Nagendra Rao Prabhu</t>
  </si>
  <si>
    <t>Leelavathi Mataji</t>
  </si>
  <si>
    <t>Durga Lakshmi K Mataji</t>
  </si>
  <si>
    <t>Meghana Aeligeti Mataji</t>
  </si>
  <si>
    <t>Greeshma Aeligeti Mataji</t>
  </si>
  <si>
    <t>Meghana Thallapally Mataji</t>
  </si>
  <si>
    <t>Sindhu Harika Mataji</t>
  </si>
  <si>
    <t>Swathi Mataji</t>
  </si>
  <si>
    <t>Samsrutha Karnati Mataji</t>
  </si>
  <si>
    <t>Karnati Nagamani  Mataji</t>
  </si>
  <si>
    <t>Sonam Rajput Mataji</t>
  </si>
  <si>
    <t>Vishal Singh Prabhu</t>
  </si>
  <si>
    <t>Pranshu Sharma Prabhu</t>
  </si>
  <si>
    <t>Keerthana Thallapally Mataji</t>
  </si>
  <si>
    <t>Badam Suresh Goud Prabhu</t>
  </si>
  <si>
    <t>Gaddam Sujatha Mataji</t>
  </si>
  <si>
    <t>Datta Sai Vaibhav Prabhu</t>
  </si>
  <si>
    <t>Kartheek Sai Prabhu</t>
  </si>
  <si>
    <t>Kristam Preethika Mataji</t>
  </si>
  <si>
    <t>Saurabh Tiwari Prabhu</t>
  </si>
  <si>
    <t>Surakhshitha Katha Mataji</t>
  </si>
  <si>
    <t>Teja Reddy Katha Prabhu</t>
  </si>
  <si>
    <t>Giridhar Prabhu</t>
  </si>
  <si>
    <t>Ruthvik Prabhu</t>
  </si>
  <si>
    <t>Nehal Mataji</t>
  </si>
  <si>
    <t>Askani venkatramana Prabhu</t>
  </si>
  <si>
    <t>Ram prasad Prabhu</t>
  </si>
  <si>
    <t>K Venugopala Rao Prabhu</t>
  </si>
  <si>
    <t>N Swarna Latha Mataji</t>
  </si>
  <si>
    <t>Anjani kiran Prabhu</t>
  </si>
  <si>
    <t>Charitha sree Mataji</t>
  </si>
  <si>
    <t xml:space="preserve">Naga Varun Prabhu
</t>
  </si>
  <si>
    <t>Bhagya laxmi Mataji</t>
  </si>
  <si>
    <t>Jayamma Mataji</t>
  </si>
  <si>
    <t>Anitha Mataji</t>
  </si>
  <si>
    <t>Nikitha Mataji</t>
  </si>
  <si>
    <t>Bagya Mataji</t>
  </si>
  <si>
    <t>Mamatha Mataji</t>
  </si>
  <si>
    <t>Sirisha Mataji</t>
  </si>
  <si>
    <t>Surendar Prabhu</t>
  </si>
  <si>
    <t>Siva Sagar Prabhu</t>
  </si>
  <si>
    <t>Anusha S Mataji</t>
  </si>
  <si>
    <t>Mahalakshmi Mataji</t>
  </si>
  <si>
    <t>Padma Ch Mataji</t>
  </si>
  <si>
    <t>Sdv applachari Prabhu</t>
  </si>
  <si>
    <t>S Hema Lakshmi Mataji</t>
  </si>
  <si>
    <t>S Krishna Kireeti Prabhu</t>
  </si>
  <si>
    <t>S Pallavi Mataji</t>
  </si>
  <si>
    <t>Nangunuri Vishnu Teja Prabhu</t>
  </si>
  <si>
    <t>Tejeswar Reddy Atla Prabhu</t>
  </si>
  <si>
    <t>Gummadavelli Meghana Mataji</t>
  </si>
  <si>
    <t>Gummadavelli Rajeshwari Mataji</t>
  </si>
  <si>
    <t>Gummadavelli Akhila Mataji</t>
  </si>
  <si>
    <t>Rahul Vankadari Prabhu</t>
  </si>
  <si>
    <t>Meghana Vecham Mataji</t>
  </si>
  <si>
    <t>Konda Akash Prabhu</t>
  </si>
  <si>
    <t>Konda Bhumanna Prabhu</t>
  </si>
  <si>
    <t>Pushpa Mataji</t>
  </si>
  <si>
    <t>K Vijaya Lakshmi  Mataji</t>
  </si>
  <si>
    <t>K Narasimha Prabhu</t>
  </si>
  <si>
    <t>K Nishal Prabhu</t>
  </si>
  <si>
    <t>Sumanth Prabhu</t>
  </si>
  <si>
    <t>Adwait Prabhu</t>
  </si>
  <si>
    <t>Chaitanya Prabhu</t>
  </si>
  <si>
    <t>Dhaval Prabhu</t>
  </si>
  <si>
    <t>Harshit Prabhu</t>
  </si>
  <si>
    <t xml:space="preserve">Jaysimha Prabhu </t>
  </si>
  <si>
    <t>Koushik Prabhu</t>
  </si>
  <si>
    <t>Narahari Prabhu</t>
  </si>
  <si>
    <t>PruthviRaj Prabhu</t>
  </si>
  <si>
    <t>Puneet Prabhu</t>
  </si>
  <si>
    <t>Shivendra Prabhu</t>
  </si>
  <si>
    <t>Subhang Prabhu</t>
  </si>
  <si>
    <t>Sukhdev Prabhu</t>
  </si>
  <si>
    <t>Susen Prabhu</t>
  </si>
  <si>
    <t>Ved sharma Prabhu</t>
  </si>
  <si>
    <t>Daksh Prabhu</t>
  </si>
  <si>
    <t>Visvambhar Prabhu</t>
  </si>
  <si>
    <t>Neel Madhav Prabhu</t>
  </si>
  <si>
    <t>Sony Mataji</t>
  </si>
  <si>
    <t>Sai Kriti</t>
  </si>
  <si>
    <t>Shourya</t>
  </si>
  <si>
    <t>Rahul Rayal Prabhu</t>
  </si>
  <si>
    <t>Tanmay Agarwal Prabhu</t>
  </si>
  <si>
    <t>Asutosh Beuria Prabhu</t>
  </si>
  <si>
    <t>Susmit Mishra Prabhu</t>
  </si>
  <si>
    <t>Nilanjan Prabhu</t>
  </si>
  <si>
    <t>Shashthidulal Prabhu</t>
  </si>
  <si>
    <t>Nandita Mataji</t>
  </si>
  <si>
    <t>B Sakitha Mataji</t>
  </si>
  <si>
    <t xml:space="preserve">Radha Govinda </t>
  </si>
  <si>
    <t>Vani S Panicker Matatji</t>
  </si>
  <si>
    <t>Ahan Panicker</t>
  </si>
  <si>
    <t>Sudāma Sakha Prabhu</t>
  </si>
  <si>
    <t>Pranathi Mataji</t>
  </si>
  <si>
    <t xml:space="preserve">Achyuta Sevini </t>
  </si>
  <si>
    <t>Bhavya sri Mataji</t>
  </si>
  <si>
    <t>Asmita Mataji</t>
  </si>
  <si>
    <t>Bhagyavathi Mataji</t>
  </si>
  <si>
    <t>Navya M Mataji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</si>
</sst>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FFFFFF"/>
      <name val="Arial"/>
    </font>
    <font/>
    <font>
      <b/>
      <sz val="14.0"/>
      <color theme="1"/>
      <name val="Arial"/>
    </font>
    <font>
      <sz val="14.0"/>
      <color theme="1"/>
      <name val="Arial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F46E5"/>
        <bgColor rgb="FF4F46E5"/>
      </patternFill>
    </fill>
    <fill>
      <patternFill patternType="solid">
        <fgColor rgb="FFF3F4F6"/>
        <bgColor rgb="FFF3F4F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10" fillId="2" fontId="1" numFmtId="0" xfId="0" applyAlignment="1" applyBorder="1" applyFont="1">
      <alignment horizontal="center" readingOrder="0" shrinkToFit="0" wrapText="1"/>
    </xf>
    <xf borderId="12" fillId="3" fontId="3" numFmtId="0" xfId="0" applyAlignment="1" applyBorder="1" applyFill="1" applyFont="1">
      <alignment horizontal="center" shrinkToFit="0" vertical="center" wrapText="1"/>
    </xf>
    <xf borderId="13" fillId="3" fontId="3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readingOrder="0" vertical="center"/>
    </xf>
    <xf borderId="17" fillId="0" fontId="5" numFmtId="0" xfId="0" applyAlignment="1" applyBorder="1" applyFont="1">
      <alignment horizontal="center" readingOrder="0" vertical="center"/>
    </xf>
    <xf borderId="18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shrinkToFit="0" wrapText="1"/>
    </xf>
    <xf borderId="1" fillId="4" fontId="4" numFmtId="0" xfId="0" applyAlignment="1" applyBorder="1" applyFill="1" applyFont="1">
      <alignment horizontal="center" shrinkToFit="0" wrapText="1"/>
    </xf>
    <xf borderId="10" fillId="0" fontId="5" numFmtId="0" xfId="0" applyBorder="1" applyFont="1"/>
    <xf borderId="12" fillId="0" fontId="2" numFmtId="0" xfId="0" applyBorder="1" applyFont="1"/>
    <xf borderId="13" fillId="0" fontId="2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 shrinkToFit="0" wrapText="1"/>
    </xf>
    <xf borderId="20" fillId="0" fontId="2" numFmtId="0" xfId="0" applyBorder="1" applyFont="1"/>
    <xf borderId="21" fillId="0" fontId="2" numFmtId="0" xfId="0" applyBorder="1" applyFont="1"/>
    <xf borderId="22" fillId="0" fontId="4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24" fillId="0" fontId="4" numFmtId="0" xfId="0" applyAlignment="1" applyBorder="1" applyFont="1">
      <alignment horizontal="center" shrinkToFit="0" wrapText="1"/>
    </xf>
    <xf borderId="10" fillId="0" fontId="5" numFmtId="0" xfId="0" applyAlignment="1" applyBorder="1" applyFont="1">
      <alignment readingOrder="0"/>
    </xf>
    <xf borderId="25" fillId="0" fontId="3" numFmtId="0" xfId="0" applyAlignment="1" applyBorder="1" applyFont="1">
      <alignment horizontal="center" shrinkToFit="0" vertical="center" wrapText="1"/>
    </xf>
    <xf borderId="26" fillId="0" fontId="3" numFmtId="0" xfId="0" applyAlignment="1" applyBorder="1" applyFont="1">
      <alignment horizontal="center" shrinkToFit="0" vertical="center" wrapText="1"/>
    </xf>
    <xf borderId="26" fillId="0" fontId="4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horizontal="center" shrinkToFit="0" vertical="center" wrapText="1"/>
    </xf>
    <xf borderId="28" fillId="0" fontId="4" numFmtId="0" xfId="0" applyAlignment="1" applyBorder="1" applyFont="1">
      <alignment horizontal="center" shrinkToFit="0" wrapText="1"/>
    </xf>
    <xf borderId="29" fillId="3" fontId="3" numFmtId="0" xfId="0" applyAlignment="1" applyBorder="1" applyFont="1">
      <alignment horizontal="center" shrinkToFit="0" vertical="center" wrapText="1"/>
    </xf>
    <xf borderId="30" fillId="3" fontId="3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31" fillId="0" fontId="4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readingOrder="0" vertical="center"/>
    </xf>
    <xf borderId="1" fillId="6" fontId="5" numFmtId="0" xfId="0" applyAlignment="1" applyBorder="1" applyFill="1" applyFont="1">
      <alignment horizontal="center" readingOrder="0" vertical="center"/>
    </xf>
    <xf borderId="10" fillId="6" fontId="5" numFmtId="0" xfId="0" applyBorder="1" applyFont="1"/>
    <xf borderId="1" fillId="0" fontId="6" numFmtId="0" xfId="0" applyBorder="1" applyFont="1"/>
    <xf borderId="1" fillId="3" fontId="3" numFmtId="0" xfId="0" applyAlignment="1" applyBorder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wrapText="1"/>
    </xf>
    <xf borderId="1" fillId="6" fontId="4" numFmtId="0" xfId="0" applyAlignment="1" applyBorder="1" applyFont="1">
      <alignment horizontal="center" shrinkToFit="0" wrapText="1"/>
    </xf>
    <xf borderId="10" fillId="6" fontId="5" numFmtId="0" xfId="0" applyAlignment="1" applyBorder="1" applyFont="1">
      <alignment readingOrder="0"/>
    </xf>
    <xf borderId="7" fillId="3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 shrinkToFit="0" vertical="center" wrapText="1"/>
    </xf>
    <xf borderId="19" fillId="0" fontId="4" numFmtId="0" xfId="0" applyAlignment="1" applyBorder="1" applyFont="1">
      <alignment horizontal="center" readingOrder="0" shrinkToFit="0" wrapText="1"/>
    </xf>
    <xf borderId="32" fillId="0" fontId="4" numFmtId="0" xfId="0" applyAlignment="1" applyBorder="1" applyFont="1">
      <alignment horizontal="center" shrinkToFit="0" wrapText="1"/>
    </xf>
    <xf borderId="15" fillId="0" fontId="4" numFmtId="0" xfId="0" applyAlignment="1" applyBorder="1" applyFont="1">
      <alignment horizontal="center" readingOrder="0" shrinkToFit="0" vertical="center" wrapText="1"/>
    </xf>
    <xf borderId="33" fillId="0" fontId="5" numFmtId="0" xfId="0" applyAlignment="1" applyBorder="1" applyFont="1">
      <alignment horizontal="center" readingOrder="0" vertical="center"/>
    </xf>
    <xf borderId="22" fillId="0" fontId="5" numFmtId="0" xfId="0" applyAlignment="1" applyBorder="1" applyFont="1">
      <alignment horizontal="center" readingOrder="0" vertical="center"/>
    </xf>
    <xf borderId="34" fillId="0" fontId="5" numFmtId="0" xfId="0" applyAlignment="1" applyBorder="1" applyFont="1">
      <alignment horizontal="center" readingOrder="0" vertical="center"/>
    </xf>
    <xf borderId="22" fillId="0" fontId="6" numFmtId="0" xfId="0" applyBorder="1" applyFont="1"/>
    <xf borderId="34" fillId="0" fontId="5" numFmtId="0" xfId="0" applyBorder="1" applyFont="1"/>
    <xf borderId="0" fillId="0" fontId="5" numFmtId="0" xfId="0" applyFont="1"/>
    <xf borderId="0" fillId="0" fontId="6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29.88"/>
    <col customWidth="1" min="2" max="2" width="14.0"/>
    <col customWidth="1" min="3" max="3" width="25.0"/>
    <col customWidth="1" min="4" max="4" width="6.38"/>
    <col customWidth="1" min="5" max="19" width="5.75"/>
    <col customWidth="1" min="20" max="20" width="9.13"/>
    <col customWidth="1" min="21" max="21" width="17.38"/>
  </cols>
  <sheetData>
    <row r="1">
      <c r="A1" s="1"/>
      <c r="B1" s="2"/>
      <c r="C1" s="1"/>
      <c r="D1" s="3"/>
      <c r="E1" s="4" t="s">
        <v>0</v>
      </c>
      <c r="F1" s="5"/>
      <c r="G1" s="6"/>
      <c r="H1" s="4" t="s">
        <v>1</v>
      </c>
      <c r="I1" s="5"/>
      <c r="J1" s="6"/>
      <c r="K1" s="4" t="s">
        <v>2</v>
      </c>
      <c r="L1" s="5"/>
      <c r="M1" s="6"/>
      <c r="N1" s="4" t="s">
        <v>3</v>
      </c>
      <c r="O1" s="5"/>
      <c r="P1" s="6"/>
      <c r="Q1" s="4" t="s">
        <v>4</v>
      </c>
      <c r="R1" s="5"/>
      <c r="S1" s="6"/>
      <c r="T1" s="7" t="s">
        <v>5</v>
      </c>
      <c r="U1" s="5"/>
      <c r="V1" s="6"/>
    </row>
    <row r="2">
      <c r="A2" s="1" t="s">
        <v>6</v>
      </c>
      <c r="B2" s="2" t="s">
        <v>7</v>
      </c>
      <c r="C2" s="1" t="s">
        <v>8</v>
      </c>
      <c r="D2" s="3" t="s">
        <v>9</v>
      </c>
      <c r="E2" s="8" t="s">
        <v>10</v>
      </c>
      <c r="F2" s="9" t="s">
        <v>11</v>
      </c>
      <c r="G2" s="10" t="s">
        <v>12</v>
      </c>
      <c r="H2" s="11" t="s">
        <v>10</v>
      </c>
      <c r="I2" s="1" t="s">
        <v>11</v>
      </c>
      <c r="J2" s="12" t="s">
        <v>12</v>
      </c>
      <c r="K2" s="11" t="s">
        <v>10</v>
      </c>
      <c r="L2" s="1" t="s">
        <v>11</v>
      </c>
      <c r="M2" s="12" t="s">
        <v>12</v>
      </c>
      <c r="N2" s="11" t="s">
        <v>10</v>
      </c>
      <c r="O2" s="1" t="s">
        <v>11</v>
      </c>
      <c r="P2" s="12" t="s">
        <v>12</v>
      </c>
      <c r="Q2" s="11" t="s">
        <v>10</v>
      </c>
      <c r="R2" s="1" t="s">
        <v>11</v>
      </c>
      <c r="S2" s="12" t="s">
        <v>12</v>
      </c>
      <c r="T2" s="13" t="s">
        <v>13</v>
      </c>
      <c r="U2" s="14" t="s">
        <v>14</v>
      </c>
      <c r="V2" s="15" t="s">
        <v>15</v>
      </c>
    </row>
    <row r="3">
      <c r="A3" s="16" t="s">
        <v>16</v>
      </c>
      <c r="B3" s="17">
        <v>7.893894239E9</v>
      </c>
      <c r="C3" s="18" t="s">
        <v>16</v>
      </c>
      <c r="D3" s="19">
        <v>26.0</v>
      </c>
      <c r="E3" s="20">
        <v>0.0</v>
      </c>
      <c r="F3" s="21">
        <v>0.0</v>
      </c>
      <c r="G3" s="22">
        <v>0.0</v>
      </c>
      <c r="H3" s="23">
        <v>1.0</v>
      </c>
      <c r="I3" s="24">
        <v>1.0</v>
      </c>
      <c r="J3" s="25">
        <v>1.0</v>
      </c>
      <c r="K3" s="23">
        <v>1.0</v>
      </c>
      <c r="L3" s="24">
        <v>1.0</v>
      </c>
      <c r="M3" s="25">
        <v>1.0</v>
      </c>
      <c r="N3" s="23">
        <v>1.0</v>
      </c>
      <c r="O3" s="24">
        <v>1.0</v>
      </c>
      <c r="P3" s="25">
        <v>1.0</v>
      </c>
      <c r="Q3" s="23">
        <v>1.0</v>
      </c>
      <c r="R3" s="24">
        <v>1.0</v>
      </c>
      <c r="S3" s="25">
        <v>1.0</v>
      </c>
      <c r="T3" s="26" t="s">
        <v>17</v>
      </c>
      <c r="U3" s="27">
        <v>1000.0</v>
      </c>
      <c r="V3" s="28">
        <f t="shared" ref="V3:V4" si="1">IF(T3="AC",6500,5500)</f>
        <v>6500</v>
      </c>
    </row>
    <row r="4">
      <c r="A4" s="29"/>
      <c r="B4" s="30"/>
      <c r="C4" s="31" t="s">
        <v>18</v>
      </c>
      <c r="D4" s="32">
        <v>31.0</v>
      </c>
      <c r="E4" s="23">
        <v>0.0</v>
      </c>
      <c r="F4" s="24">
        <v>0.0</v>
      </c>
      <c r="G4" s="25">
        <v>0.0</v>
      </c>
      <c r="H4" s="23">
        <v>1.0</v>
      </c>
      <c r="I4" s="24">
        <v>1.0</v>
      </c>
      <c r="J4" s="25">
        <v>1.0</v>
      </c>
      <c r="K4" s="23">
        <v>1.0</v>
      </c>
      <c r="L4" s="24">
        <v>1.0</v>
      </c>
      <c r="M4" s="25">
        <v>1.0</v>
      </c>
      <c r="N4" s="23">
        <v>1.0</v>
      </c>
      <c r="O4" s="24">
        <v>1.0</v>
      </c>
      <c r="P4" s="25">
        <v>1.0</v>
      </c>
      <c r="Q4" s="23">
        <v>1.0</v>
      </c>
      <c r="R4" s="24">
        <v>1.0</v>
      </c>
      <c r="S4" s="25">
        <v>1.0</v>
      </c>
      <c r="T4" s="33" t="s">
        <v>17</v>
      </c>
      <c r="U4" s="27">
        <v>1000.0</v>
      </c>
      <c r="V4" s="28">
        <f t="shared" si="1"/>
        <v>6500</v>
      </c>
    </row>
    <row r="5">
      <c r="A5" s="34"/>
      <c r="B5" s="35"/>
      <c r="C5" s="36" t="s">
        <v>19</v>
      </c>
      <c r="D5" s="37">
        <v>32.0</v>
      </c>
      <c r="E5" s="23">
        <v>0.0</v>
      </c>
      <c r="F5" s="24">
        <v>0.0</v>
      </c>
      <c r="G5" s="25">
        <v>0.0</v>
      </c>
      <c r="H5" s="23">
        <v>1.0</v>
      </c>
      <c r="I5" s="24">
        <v>1.0</v>
      </c>
      <c r="J5" s="25">
        <v>1.0</v>
      </c>
      <c r="K5" s="23">
        <v>1.0</v>
      </c>
      <c r="L5" s="24">
        <v>1.0</v>
      </c>
      <c r="M5" s="25">
        <v>1.0</v>
      </c>
      <c r="N5" s="23">
        <v>1.0</v>
      </c>
      <c r="O5" s="24">
        <v>1.0</v>
      </c>
      <c r="P5" s="25">
        <v>1.0</v>
      </c>
      <c r="Q5" s="23">
        <v>1.0</v>
      </c>
      <c r="R5" s="24">
        <v>1.0</v>
      </c>
      <c r="S5" s="25">
        <v>1.0</v>
      </c>
      <c r="T5" s="38" t="s">
        <v>17</v>
      </c>
      <c r="U5" s="27">
        <v>0.0</v>
      </c>
      <c r="V5" s="39">
        <v>0.0</v>
      </c>
    </row>
    <row r="6">
      <c r="A6" s="40" t="s">
        <v>20</v>
      </c>
      <c r="B6" s="41">
        <v>9.704090561E9</v>
      </c>
      <c r="C6" s="42" t="s">
        <v>20</v>
      </c>
      <c r="D6" s="43">
        <v>27.0</v>
      </c>
      <c r="E6" s="23">
        <v>1.0</v>
      </c>
      <c r="F6" s="24">
        <v>1.0</v>
      </c>
      <c r="G6" s="25">
        <v>1.0</v>
      </c>
      <c r="H6" s="23">
        <v>1.0</v>
      </c>
      <c r="I6" s="24">
        <v>1.0</v>
      </c>
      <c r="J6" s="25">
        <v>1.0</v>
      </c>
      <c r="K6" s="23">
        <v>1.0</v>
      </c>
      <c r="L6" s="24">
        <v>1.0</v>
      </c>
      <c r="M6" s="25">
        <v>1.0</v>
      </c>
      <c r="N6" s="23">
        <v>1.0</v>
      </c>
      <c r="O6" s="24">
        <v>1.0</v>
      </c>
      <c r="P6" s="25">
        <v>1.0</v>
      </c>
      <c r="Q6" s="23">
        <v>1.0</v>
      </c>
      <c r="R6" s="24">
        <v>1.0</v>
      </c>
      <c r="S6" s="25">
        <v>1.0</v>
      </c>
      <c r="T6" s="44" t="s">
        <v>21</v>
      </c>
      <c r="U6" s="27">
        <v>1000.0</v>
      </c>
      <c r="V6" s="28">
        <f t="shared" ref="V6:V27" si="2">IF(T6="AC",6500,5500)</f>
        <v>5500</v>
      </c>
    </row>
    <row r="7">
      <c r="A7" s="45" t="s">
        <v>22</v>
      </c>
      <c r="B7" s="46">
        <v>9.028451481E9</v>
      </c>
      <c r="C7" s="47" t="s">
        <v>22</v>
      </c>
      <c r="D7" s="48">
        <v>41.0</v>
      </c>
      <c r="E7" s="23">
        <v>0.0</v>
      </c>
      <c r="F7" s="24">
        <v>0.0</v>
      </c>
      <c r="G7" s="25">
        <v>0.0</v>
      </c>
      <c r="H7" s="23">
        <v>1.0</v>
      </c>
      <c r="I7" s="24">
        <v>1.0</v>
      </c>
      <c r="J7" s="25">
        <v>1.0</v>
      </c>
      <c r="K7" s="23">
        <v>1.0</v>
      </c>
      <c r="L7" s="24">
        <v>1.0</v>
      </c>
      <c r="M7" s="25">
        <v>1.0</v>
      </c>
      <c r="N7" s="23">
        <v>1.0</v>
      </c>
      <c r="O7" s="24">
        <v>1.0</v>
      </c>
      <c r="P7" s="25">
        <v>1.0</v>
      </c>
      <c r="Q7" s="23">
        <v>1.0</v>
      </c>
      <c r="R7" s="24">
        <v>1.0</v>
      </c>
      <c r="S7" s="25">
        <v>1.0</v>
      </c>
      <c r="T7" s="26" t="s">
        <v>17</v>
      </c>
      <c r="U7" s="27">
        <v>1000.0</v>
      </c>
      <c r="V7" s="28">
        <f t="shared" si="2"/>
        <v>6500</v>
      </c>
    </row>
    <row r="8">
      <c r="A8" s="29"/>
      <c r="B8" s="30"/>
      <c r="C8" s="31" t="s">
        <v>23</v>
      </c>
      <c r="D8" s="32">
        <v>41.0</v>
      </c>
      <c r="E8" s="23">
        <v>0.0</v>
      </c>
      <c r="F8" s="24">
        <v>0.0</v>
      </c>
      <c r="G8" s="25">
        <v>0.0</v>
      </c>
      <c r="H8" s="23">
        <v>1.0</v>
      </c>
      <c r="I8" s="24">
        <v>1.0</v>
      </c>
      <c r="J8" s="25">
        <v>1.0</v>
      </c>
      <c r="K8" s="23">
        <v>1.0</v>
      </c>
      <c r="L8" s="24">
        <v>1.0</v>
      </c>
      <c r="M8" s="25">
        <v>1.0</v>
      </c>
      <c r="N8" s="23">
        <v>1.0</v>
      </c>
      <c r="O8" s="24">
        <v>1.0</v>
      </c>
      <c r="P8" s="25">
        <v>1.0</v>
      </c>
      <c r="Q8" s="23">
        <v>1.0</v>
      </c>
      <c r="R8" s="24">
        <v>1.0</v>
      </c>
      <c r="S8" s="25">
        <v>1.0</v>
      </c>
      <c r="T8" s="33" t="s">
        <v>17</v>
      </c>
      <c r="U8" s="27">
        <v>1000.0</v>
      </c>
      <c r="V8" s="28">
        <f t="shared" si="2"/>
        <v>6500</v>
      </c>
    </row>
    <row r="9">
      <c r="A9" s="34"/>
      <c r="B9" s="35"/>
      <c r="C9" s="36" t="s">
        <v>24</v>
      </c>
      <c r="D9" s="37">
        <v>66.0</v>
      </c>
      <c r="E9" s="23">
        <v>0.0</v>
      </c>
      <c r="F9" s="24">
        <v>0.0</v>
      </c>
      <c r="G9" s="25">
        <v>0.0</v>
      </c>
      <c r="H9" s="23">
        <v>1.0</v>
      </c>
      <c r="I9" s="24">
        <v>1.0</v>
      </c>
      <c r="J9" s="25">
        <v>1.0</v>
      </c>
      <c r="K9" s="23">
        <v>1.0</v>
      </c>
      <c r="L9" s="24">
        <v>1.0</v>
      </c>
      <c r="M9" s="25">
        <v>1.0</v>
      </c>
      <c r="N9" s="23">
        <v>1.0</v>
      </c>
      <c r="O9" s="24">
        <v>1.0</v>
      </c>
      <c r="P9" s="25">
        <v>1.0</v>
      </c>
      <c r="Q9" s="23">
        <v>1.0</v>
      </c>
      <c r="R9" s="24">
        <v>1.0</v>
      </c>
      <c r="S9" s="25">
        <v>1.0</v>
      </c>
      <c r="T9" s="38" t="s">
        <v>17</v>
      </c>
      <c r="U9" s="27">
        <v>1000.0</v>
      </c>
      <c r="V9" s="28">
        <f t="shared" si="2"/>
        <v>6500</v>
      </c>
    </row>
    <row r="10">
      <c r="A10" s="49" t="s">
        <v>25</v>
      </c>
      <c r="B10" s="50">
        <v>9.663395359E9</v>
      </c>
      <c r="C10" s="31" t="s">
        <v>26</v>
      </c>
      <c r="D10" s="32">
        <v>36.0</v>
      </c>
      <c r="E10" s="23">
        <v>0.0</v>
      </c>
      <c r="F10" s="24">
        <v>0.0</v>
      </c>
      <c r="G10" s="25">
        <v>0.0</v>
      </c>
      <c r="H10" s="23">
        <v>1.0</v>
      </c>
      <c r="I10" s="24">
        <v>1.0</v>
      </c>
      <c r="J10" s="25">
        <v>1.0</v>
      </c>
      <c r="K10" s="23">
        <v>1.0</v>
      </c>
      <c r="L10" s="24">
        <v>1.0</v>
      </c>
      <c r="M10" s="25">
        <v>1.0</v>
      </c>
      <c r="N10" s="23">
        <v>1.0</v>
      </c>
      <c r="O10" s="24">
        <v>1.0</v>
      </c>
      <c r="P10" s="25">
        <v>1.0</v>
      </c>
      <c r="Q10" s="23">
        <v>1.0</v>
      </c>
      <c r="R10" s="24">
        <v>1.0</v>
      </c>
      <c r="S10" s="25">
        <v>1.0</v>
      </c>
      <c r="T10" s="33" t="s">
        <v>17</v>
      </c>
      <c r="U10" s="27">
        <v>1000.0</v>
      </c>
      <c r="V10" s="28">
        <f t="shared" si="2"/>
        <v>6500</v>
      </c>
    </row>
    <row r="11">
      <c r="A11" s="51"/>
      <c r="B11" s="51"/>
      <c r="C11" s="31" t="s">
        <v>27</v>
      </c>
      <c r="D11" s="32">
        <v>31.0</v>
      </c>
      <c r="E11" s="23">
        <v>0.0</v>
      </c>
      <c r="F11" s="24">
        <v>0.0</v>
      </c>
      <c r="G11" s="25">
        <v>0.0</v>
      </c>
      <c r="H11" s="23">
        <v>1.0</v>
      </c>
      <c r="I11" s="24">
        <v>1.0</v>
      </c>
      <c r="J11" s="25">
        <v>1.0</v>
      </c>
      <c r="K11" s="23">
        <v>1.0</v>
      </c>
      <c r="L11" s="24">
        <v>1.0</v>
      </c>
      <c r="M11" s="25">
        <v>1.0</v>
      </c>
      <c r="N11" s="23">
        <v>1.0</v>
      </c>
      <c r="O11" s="24">
        <v>1.0</v>
      </c>
      <c r="P11" s="25">
        <v>1.0</v>
      </c>
      <c r="Q11" s="23">
        <v>1.0</v>
      </c>
      <c r="R11" s="24">
        <v>1.0</v>
      </c>
      <c r="S11" s="25">
        <v>1.0</v>
      </c>
      <c r="T11" s="33" t="s">
        <v>17</v>
      </c>
      <c r="U11" s="27">
        <v>1000.0</v>
      </c>
      <c r="V11" s="28">
        <f t="shared" si="2"/>
        <v>6500</v>
      </c>
    </row>
    <row r="12">
      <c r="A12" s="52" t="s">
        <v>28</v>
      </c>
      <c r="B12" s="52">
        <v>8.42928959E9</v>
      </c>
      <c r="C12" s="31" t="s">
        <v>28</v>
      </c>
      <c r="D12" s="32">
        <v>21.0</v>
      </c>
      <c r="E12" s="23">
        <v>0.0</v>
      </c>
      <c r="F12" s="24">
        <v>0.0</v>
      </c>
      <c r="G12" s="25">
        <v>0.0</v>
      </c>
      <c r="H12" s="23">
        <v>1.0</v>
      </c>
      <c r="I12" s="24">
        <v>1.0</v>
      </c>
      <c r="J12" s="25">
        <v>1.0</v>
      </c>
      <c r="K12" s="23">
        <v>1.0</v>
      </c>
      <c r="L12" s="24">
        <v>1.0</v>
      </c>
      <c r="M12" s="25">
        <v>1.0</v>
      </c>
      <c r="N12" s="23">
        <v>1.0</v>
      </c>
      <c r="O12" s="24">
        <v>1.0</v>
      </c>
      <c r="P12" s="25">
        <v>1.0</v>
      </c>
      <c r="Q12" s="23">
        <v>1.0</v>
      </c>
      <c r="R12" s="24">
        <v>1.0</v>
      </c>
      <c r="S12" s="25">
        <v>1.0</v>
      </c>
      <c r="T12" s="33" t="s">
        <v>17</v>
      </c>
      <c r="U12" s="27">
        <v>1000.0</v>
      </c>
      <c r="V12" s="28">
        <f t="shared" si="2"/>
        <v>6500</v>
      </c>
    </row>
    <row r="13">
      <c r="A13" s="50" t="s">
        <v>29</v>
      </c>
      <c r="B13" s="50">
        <v>7.588787485E9</v>
      </c>
      <c r="C13" s="31" t="s">
        <v>29</v>
      </c>
      <c r="D13" s="32">
        <v>27.0</v>
      </c>
      <c r="E13" s="23">
        <v>0.0</v>
      </c>
      <c r="F13" s="24">
        <v>0.0</v>
      </c>
      <c r="G13" s="25">
        <v>0.0</v>
      </c>
      <c r="H13" s="23">
        <v>1.0</v>
      </c>
      <c r="I13" s="24">
        <v>1.0</v>
      </c>
      <c r="J13" s="25">
        <v>1.0</v>
      </c>
      <c r="K13" s="23">
        <v>1.0</v>
      </c>
      <c r="L13" s="24">
        <v>1.0</v>
      </c>
      <c r="M13" s="25">
        <v>1.0</v>
      </c>
      <c r="N13" s="23">
        <v>1.0</v>
      </c>
      <c r="O13" s="24">
        <v>1.0</v>
      </c>
      <c r="P13" s="25">
        <v>1.0</v>
      </c>
      <c r="Q13" s="23">
        <v>1.0</v>
      </c>
      <c r="R13" s="24">
        <v>1.0</v>
      </c>
      <c r="S13" s="25">
        <v>1.0</v>
      </c>
      <c r="T13" s="33" t="s">
        <v>17</v>
      </c>
      <c r="U13" s="27">
        <v>1000.0</v>
      </c>
      <c r="V13" s="28">
        <f t="shared" si="2"/>
        <v>6500</v>
      </c>
    </row>
    <row r="14">
      <c r="A14" s="30"/>
      <c r="B14" s="30"/>
      <c r="C14" s="31" t="s">
        <v>30</v>
      </c>
      <c r="D14" s="32">
        <v>61.0</v>
      </c>
      <c r="E14" s="23">
        <v>0.0</v>
      </c>
      <c r="F14" s="24">
        <v>0.0</v>
      </c>
      <c r="G14" s="25">
        <v>0.0</v>
      </c>
      <c r="H14" s="23">
        <v>1.0</v>
      </c>
      <c r="I14" s="24">
        <v>1.0</v>
      </c>
      <c r="J14" s="25">
        <v>1.0</v>
      </c>
      <c r="K14" s="23">
        <v>1.0</v>
      </c>
      <c r="L14" s="24">
        <v>1.0</v>
      </c>
      <c r="M14" s="25">
        <v>1.0</v>
      </c>
      <c r="N14" s="23">
        <v>1.0</v>
      </c>
      <c r="O14" s="24">
        <v>1.0</v>
      </c>
      <c r="P14" s="25">
        <v>1.0</v>
      </c>
      <c r="Q14" s="23">
        <v>1.0</v>
      </c>
      <c r="R14" s="24">
        <v>1.0</v>
      </c>
      <c r="S14" s="25">
        <v>1.0</v>
      </c>
      <c r="T14" s="33" t="s">
        <v>17</v>
      </c>
      <c r="U14" s="27">
        <v>1000.0</v>
      </c>
      <c r="V14" s="28">
        <f t="shared" si="2"/>
        <v>6500</v>
      </c>
    </row>
    <row r="15">
      <c r="A15" s="51"/>
      <c r="B15" s="51"/>
      <c r="C15" s="31" t="s">
        <v>31</v>
      </c>
      <c r="D15" s="32">
        <v>54.0</v>
      </c>
      <c r="E15" s="23">
        <v>0.0</v>
      </c>
      <c r="F15" s="24">
        <v>0.0</v>
      </c>
      <c r="G15" s="25">
        <v>0.0</v>
      </c>
      <c r="H15" s="23">
        <v>1.0</v>
      </c>
      <c r="I15" s="24">
        <v>1.0</v>
      </c>
      <c r="J15" s="25">
        <v>1.0</v>
      </c>
      <c r="K15" s="23">
        <v>1.0</v>
      </c>
      <c r="L15" s="24">
        <v>1.0</v>
      </c>
      <c r="M15" s="25">
        <v>1.0</v>
      </c>
      <c r="N15" s="23">
        <v>1.0</v>
      </c>
      <c r="O15" s="24">
        <v>1.0</v>
      </c>
      <c r="P15" s="25">
        <v>1.0</v>
      </c>
      <c r="Q15" s="23">
        <v>1.0</v>
      </c>
      <c r="R15" s="24">
        <v>1.0</v>
      </c>
      <c r="S15" s="25">
        <v>1.0</v>
      </c>
      <c r="T15" s="33" t="s">
        <v>17</v>
      </c>
      <c r="U15" s="27">
        <v>1000.0</v>
      </c>
      <c r="V15" s="28">
        <f t="shared" si="2"/>
        <v>6500</v>
      </c>
    </row>
    <row r="16">
      <c r="A16" s="49" t="s">
        <v>32</v>
      </c>
      <c r="B16" s="50">
        <v>9.840286639E9</v>
      </c>
      <c r="C16" s="31" t="s">
        <v>32</v>
      </c>
      <c r="D16" s="32">
        <v>28.0</v>
      </c>
      <c r="E16" s="23">
        <v>0.0</v>
      </c>
      <c r="F16" s="24">
        <v>0.0</v>
      </c>
      <c r="G16" s="25">
        <v>0.0</v>
      </c>
      <c r="H16" s="23">
        <v>1.0</v>
      </c>
      <c r="I16" s="24">
        <v>1.0</v>
      </c>
      <c r="J16" s="25">
        <v>1.0</v>
      </c>
      <c r="K16" s="23">
        <v>1.0</v>
      </c>
      <c r="L16" s="24">
        <v>1.0</v>
      </c>
      <c r="M16" s="25">
        <v>1.0</v>
      </c>
      <c r="N16" s="23">
        <v>1.0</v>
      </c>
      <c r="O16" s="24">
        <v>1.0</v>
      </c>
      <c r="P16" s="25">
        <v>1.0</v>
      </c>
      <c r="Q16" s="23">
        <v>1.0</v>
      </c>
      <c r="R16" s="24">
        <v>1.0</v>
      </c>
      <c r="S16" s="25">
        <v>1.0</v>
      </c>
      <c r="T16" s="33" t="s">
        <v>17</v>
      </c>
      <c r="U16" s="27">
        <v>1000.0</v>
      </c>
      <c r="V16" s="28">
        <f t="shared" si="2"/>
        <v>6500</v>
      </c>
    </row>
    <row r="17">
      <c r="A17" s="30"/>
      <c r="B17" s="30"/>
      <c r="C17" s="31" t="s">
        <v>33</v>
      </c>
      <c r="D17" s="32">
        <v>28.0</v>
      </c>
      <c r="E17" s="23">
        <v>0.0</v>
      </c>
      <c r="F17" s="24">
        <v>0.0</v>
      </c>
      <c r="G17" s="25">
        <v>0.0</v>
      </c>
      <c r="H17" s="23">
        <v>1.0</v>
      </c>
      <c r="I17" s="24">
        <v>1.0</v>
      </c>
      <c r="J17" s="25">
        <v>1.0</v>
      </c>
      <c r="K17" s="23">
        <v>1.0</v>
      </c>
      <c r="L17" s="24">
        <v>1.0</v>
      </c>
      <c r="M17" s="25">
        <v>1.0</v>
      </c>
      <c r="N17" s="23">
        <v>1.0</v>
      </c>
      <c r="O17" s="24">
        <v>1.0</v>
      </c>
      <c r="P17" s="25">
        <v>1.0</v>
      </c>
      <c r="Q17" s="23">
        <v>1.0</v>
      </c>
      <c r="R17" s="24">
        <v>1.0</v>
      </c>
      <c r="S17" s="25">
        <v>1.0</v>
      </c>
      <c r="T17" s="33" t="s">
        <v>17</v>
      </c>
      <c r="U17" s="27">
        <v>1000.0</v>
      </c>
      <c r="V17" s="28">
        <f t="shared" si="2"/>
        <v>6500</v>
      </c>
    </row>
    <row r="18">
      <c r="A18" s="30"/>
      <c r="B18" s="30"/>
      <c r="C18" s="31" t="s">
        <v>34</v>
      </c>
      <c r="D18" s="32">
        <v>61.0</v>
      </c>
      <c r="E18" s="23">
        <v>0.0</v>
      </c>
      <c r="F18" s="24">
        <v>0.0</v>
      </c>
      <c r="G18" s="25">
        <v>0.0</v>
      </c>
      <c r="H18" s="23">
        <v>1.0</v>
      </c>
      <c r="I18" s="24">
        <v>1.0</v>
      </c>
      <c r="J18" s="25">
        <v>1.0</v>
      </c>
      <c r="K18" s="23">
        <v>1.0</v>
      </c>
      <c r="L18" s="24">
        <v>1.0</v>
      </c>
      <c r="M18" s="25">
        <v>1.0</v>
      </c>
      <c r="N18" s="23">
        <v>1.0</v>
      </c>
      <c r="O18" s="24">
        <v>1.0</v>
      </c>
      <c r="P18" s="25">
        <v>1.0</v>
      </c>
      <c r="Q18" s="23">
        <v>1.0</v>
      </c>
      <c r="R18" s="24">
        <v>1.0</v>
      </c>
      <c r="S18" s="25">
        <v>1.0</v>
      </c>
      <c r="T18" s="33" t="s">
        <v>17</v>
      </c>
      <c r="U18" s="27">
        <v>1000.0</v>
      </c>
      <c r="V18" s="28">
        <f t="shared" si="2"/>
        <v>6500</v>
      </c>
    </row>
    <row r="19">
      <c r="A19" s="51"/>
      <c r="B19" s="51"/>
      <c r="C19" s="31" t="s">
        <v>35</v>
      </c>
      <c r="D19" s="32">
        <v>52.0</v>
      </c>
      <c r="E19" s="23">
        <v>0.0</v>
      </c>
      <c r="F19" s="24">
        <v>0.0</v>
      </c>
      <c r="G19" s="25">
        <v>0.0</v>
      </c>
      <c r="H19" s="23">
        <v>1.0</v>
      </c>
      <c r="I19" s="24">
        <v>1.0</v>
      </c>
      <c r="J19" s="25">
        <v>1.0</v>
      </c>
      <c r="K19" s="23">
        <v>1.0</v>
      </c>
      <c r="L19" s="24">
        <v>1.0</v>
      </c>
      <c r="M19" s="25">
        <v>1.0</v>
      </c>
      <c r="N19" s="23">
        <v>1.0</v>
      </c>
      <c r="O19" s="24">
        <v>1.0</v>
      </c>
      <c r="P19" s="25">
        <v>1.0</v>
      </c>
      <c r="Q19" s="23">
        <v>1.0</v>
      </c>
      <c r="R19" s="24">
        <v>1.0</v>
      </c>
      <c r="S19" s="25">
        <v>1.0</v>
      </c>
      <c r="T19" s="33" t="s">
        <v>17</v>
      </c>
      <c r="U19" s="27">
        <v>1000.0</v>
      </c>
      <c r="V19" s="28">
        <f t="shared" si="2"/>
        <v>6500</v>
      </c>
    </row>
    <row r="20">
      <c r="A20" s="52" t="s">
        <v>36</v>
      </c>
      <c r="B20" s="52">
        <v>9.381002799E9</v>
      </c>
      <c r="C20" s="31" t="s">
        <v>36</v>
      </c>
      <c r="D20" s="32">
        <v>25.0</v>
      </c>
      <c r="E20" s="23">
        <v>1.0</v>
      </c>
      <c r="F20" s="24">
        <v>1.0</v>
      </c>
      <c r="G20" s="25">
        <v>1.0</v>
      </c>
      <c r="H20" s="23">
        <v>1.0</v>
      </c>
      <c r="I20" s="24">
        <v>1.0</v>
      </c>
      <c r="J20" s="25">
        <v>1.0</v>
      </c>
      <c r="K20" s="23">
        <v>1.0</v>
      </c>
      <c r="L20" s="24">
        <v>1.0</v>
      </c>
      <c r="M20" s="25">
        <v>1.0</v>
      </c>
      <c r="N20" s="23">
        <v>1.0</v>
      </c>
      <c r="O20" s="24">
        <v>1.0</v>
      </c>
      <c r="P20" s="25">
        <v>1.0</v>
      </c>
      <c r="Q20" s="23">
        <v>1.0</v>
      </c>
      <c r="R20" s="24">
        <v>1.0</v>
      </c>
      <c r="S20" s="25">
        <v>1.0</v>
      </c>
      <c r="T20" s="33" t="s">
        <v>17</v>
      </c>
      <c r="U20" s="27">
        <v>1000.0</v>
      </c>
      <c r="V20" s="28">
        <f t="shared" si="2"/>
        <v>6500</v>
      </c>
    </row>
    <row r="21">
      <c r="A21" s="50" t="s">
        <v>37</v>
      </c>
      <c r="B21" s="50">
        <v>8.682845231E9</v>
      </c>
      <c r="C21" s="31" t="s">
        <v>37</v>
      </c>
      <c r="D21" s="32">
        <v>29.0</v>
      </c>
      <c r="E21" s="23">
        <v>0.0</v>
      </c>
      <c r="F21" s="24">
        <v>0.0</v>
      </c>
      <c r="G21" s="25">
        <v>0.0</v>
      </c>
      <c r="H21" s="23">
        <v>1.0</v>
      </c>
      <c r="I21" s="24">
        <v>1.0</v>
      </c>
      <c r="J21" s="25">
        <v>1.0</v>
      </c>
      <c r="K21" s="23">
        <v>1.0</v>
      </c>
      <c r="L21" s="24">
        <v>1.0</v>
      </c>
      <c r="M21" s="25">
        <v>1.0</v>
      </c>
      <c r="N21" s="23">
        <v>1.0</v>
      </c>
      <c r="O21" s="24">
        <v>1.0</v>
      </c>
      <c r="P21" s="25">
        <v>1.0</v>
      </c>
      <c r="Q21" s="23">
        <v>1.0</v>
      </c>
      <c r="R21" s="24">
        <v>1.0</v>
      </c>
      <c r="S21" s="25">
        <v>1.0</v>
      </c>
      <c r="T21" s="33" t="s">
        <v>17</v>
      </c>
      <c r="U21" s="27">
        <v>1000.0</v>
      </c>
      <c r="V21" s="28">
        <f t="shared" si="2"/>
        <v>6500</v>
      </c>
    </row>
    <row r="22">
      <c r="A22" s="51"/>
      <c r="B22" s="51"/>
      <c r="C22" s="31" t="s">
        <v>38</v>
      </c>
      <c r="D22" s="32">
        <v>29.0</v>
      </c>
      <c r="E22" s="23">
        <v>0.0</v>
      </c>
      <c r="F22" s="24">
        <v>0.0</v>
      </c>
      <c r="G22" s="25">
        <v>0.0</v>
      </c>
      <c r="H22" s="23">
        <v>1.0</v>
      </c>
      <c r="I22" s="24">
        <v>1.0</v>
      </c>
      <c r="J22" s="25">
        <v>1.0</v>
      </c>
      <c r="K22" s="23">
        <v>1.0</v>
      </c>
      <c r="L22" s="24">
        <v>1.0</v>
      </c>
      <c r="M22" s="25">
        <v>1.0</v>
      </c>
      <c r="N22" s="23">
        <v>1.0</v>
      </c>
      <c r="O22" s="24">
        <v>1.0</v>
      </c>
      <c r="P22" s="25">
        <v>1.0</v>
      </c>
      <c r="Q22" s="23">
        <v>1.0</v>
      </c>
      <c r="R22" s="24">
        <v>1.0</v>
      </c>
      <c r="S22" s="25">
        <v>1.0</v>
      </c>
      <c r="T22" s="33" t="s">
        <v>17</v>
      </c>
      <c r="U22" s="27">
        <v>1000.0</v>
      </c>
      <c r="V22" s="28">
        <f t="shared" si="2"/>
        <v>6500</v>
      </c>
    </row>
    <row r="23">
      <c r="A23" s="50" t="s">
        <v>39</v>
      </c>
      <c r="B23" s="50">
        <v>9.67716357E9</v>
      </c>
      <c r="C23" s="31" t="s">
        <v>39</v>
      </c>
      <c r="D23" s="32">
        <v>30.0</v>
      </c>
      <c r="E23" s="23">
        <v>0.0</v>
      </c>
      <c r="F23" s="24">
        <v>0.0</v>
      </c>
      <c r="G23" s="25">
        <v>0.0</v>
      </c>
      <c r="H23" s="23">
        <v>1.0</v>
      </c>
      <c r="I23" s="24">
        <v>1.0</v>
      </c>
      <c r="J23" s="25">
        <v>1.0</v>
      </c>
      <c r="K23" s="23">
        <v>1.0</v>
      </c>
      <c r="L23" s="24">
        <v>1.0</v>
      </c>
      <c r="M23" s="25">
        <v>1.0</v>
      </c>
      <c r="N23" s="23">
        <v>1.0</v>
      </c>
      <c r="O23" s="24">
        <v>1.0</v>
      </c>
      <c r="P23" s="25">
        <v>1.0</v>
      </c>
      <c r="Q23" s="23">
        <v>1.0</v>
      </c>
      <c r="R23" s="24">
        <v>1.0</v>
      </c>
      <c r="S23" s="25">
        <v>1.0</v>
      </c>
      <c r="T23" s="33" t="s">
        <v>17</v>
      </c>
      <c r="U23" s="27">
        <v>1000.0</v>
      </c>
      <c r="V23" s="28">
        <f t="shared" si="2"/>
        <v>6500</v>
      </c>
    </row>
    <row r="24">
      <c r="A24" s="51"/>
      <c r="B24" s="51"/>
      <c r="C24" s="31" t="s">
        <v>40</v>
      </c>
      <c r="D24" s="32">
        <v>29.0</v>
      </c>
      <c r="E24" s="23">
        <v>0.0</v>
      </c>
      <c r="F24" s="24">
        <v>0.0</v>
      </c>
      <c r="G24" s="25">
        <v>0.0</v>
      </c>
      <c r="H24" s="23">
        <v>1.0</v>
      </c>
      <c r="I24" s="24">
        <v>1.0</v>
      </c>
      <c r="J24" s="25">
        <v>1.0</v>
      </c>
      <c r="K24" s="23">
        <v>1.0</v>
      </c>
      <c r="L24" s="24">
        <v>1.0</v>
      </c>
      <c r="M24" s="25">
        <v>1.0</v>
      </c>
      <c r="N24" s="23">
        <v>1.0</v>
      </c>
      <c r="O24" s="24">
        <v>1.0</v>
      </c>
      <c r="P24" s="25">
        <v>1.0</v>
      </c>
      <c r="Q24" s="23">
        <v>1.0</v>
      </c>
      <c r="R24" s="24">
        <v>1.0</v>
      </c>
      <c r="S24" s="25">
        <v>1.0</v>
      </c>
      <c r="T24" s="33" t="s">
        <v>17</v>
      </c>
      <c r="U24" s="27">
        <v>1000.0</v>
      </c>
      <c r="V24" s="28">
        <f t="shared" si="2"/>
        <v>6500</v>
      </c>
    </row>
    <row r="25">
      <c r="A25" s="52" t="s">
        <v>41</v>
      </c>
      <c r="B25" s="52">
        <v>8.903967041E9</v>
      </c>
      <c r="C25" s="31" t="s">
        <v>41</v>
      </c>
      <c r="D25" s="32">
        <v>28.0</v>
      </c>
      <c r="E25" s="23">
        <v>0.0</v>
      </c>
      <c r="F25" s="24">
        <v>0.0</v>
      </c>
      <c r="G25" s="25">
        <v>0.0</v>
      </c>
      <c r="H25" s="23">
        <v>1.0</v>
      </c>
      <c r="I25" s="24">
        <v>1.0</v>
      </c>
      <c r="J25" s="25">
        <v>1.0</v>
      </c>
      <c r="K25" s="23">
        <v>1.0</v>
      </c>
      <c r="L25" s="24">
        <v>1.0</v>
      </c>
      <c r="M25" s="25">
        <v>1.0</v>
      </c>
      <c r="N25" s="23">
        <v>1.0</v>
      </c>
      <c r="O25" s="24">
        <v>1.0</v>
      </c>
      <c r="P25" s="25">
        <v>1.0</v>
      </c>
      <c r="Q25" s="23">
        <v>1.0</v>
      </c>
      <c r="R25" s="24">
        <v>1.0</v>
      </c>
      <c r="S25" s="25">
        <v>1.0</v>
      </c>
      <c r="T25" s="33" t="s">
        <v>21</v>
      </c>
      <c r="U25" s="27">
        <v>1000.0</v>
      </c>
      <c r="V25" s="28">
        <f t="shared" si="2"/>
        <v>5500</v>
      </c>
    </row>
    <row r="26">
      <c r="A26" s="50" t="s">
        <v>42</v>
      </c>
      <c r="B26" s="50">
        <v>8.125771789E9</v>
      </c>
      <c r="C26" s="31" t="s">
        <v>42</v>
      </c>
      <c r="D26" s="32">
        <v>37.0</v>
      </c>
      <c r="E26" s="23">
        <v>0.0</v>
      </c>
      <c r="F26" s="24">
        <v>0.0</v>
      </c>
      <c r="G26" s="25">
        <v>0.0</v>
      </c>
      <c r="H26" s="23">
        <v>1.0</v>
      </c>
      <c r="I26" s="24">
        <v>1.0</v>
      </c>
      <c r="J26" s="25">
        <v>1.0</v>
      </c>
      <c r="K26" s="23">
        <v>1.0</v>
      </c>
      <c r="L26" s="24">
        <v>1.0</v>
      </c>
      <c r="M26" s="25">
        <v>1.0</v>
      </c>
      <c r="N26" s="23">
        <v>1.0</v>
      </c>
      <c r="O26" s="24">
        <v>1.0</v>
      </c>
      <c r="P26" s="25">
        <v>1.0</v>
      </c>
      <c r="Q26" s="23">
        <v>1.0</v>
      </c>
      <c r="R26" s="24">
        <v>1.0</v>
      </c>
      <c r="S26" s="25">
        <v>1.0</v>
      </c>
      <c r="T26" s="33" t="s">
        <v>17</v>
      </c>
      <c r="U26" s="27">
        <v>1000.0</v>
      </c>
      <c r="V26" s="28">
        <f t="shared" si="2"/>
        <v>6500</v>
      </c>
    </row>
    <row r="27">
      <c r="A27" s="30"/>
      <c r="B27" s="30"/>
      <c r="C27" s="31" t="s">
        <v>43</v>
      </c>
      <c r="D27" s="32">
        <v>33.0</v>
      </c>
      <c r="E27" s="23">
        <v>0.0</v>
      </c>
      <c r="F27" s="24">
        <v>0.0</v>
      </c>
      <c r="G27" s="25">
        <v>0.0</v>
      </c>
      <c r="H27" s="23">
        <v>1.0</v>
      </c>
      <c r="I27" s="24">
        <v>1.0</v>
      </c>
      <c r="J27" s="25">
        <v>1.0</v>
      </c>
      <c r="K27" s="23">
        <v>1.0</v>
      </c>
      <c r="L27" s="24">
        <v>1.0</v>
      </c>
      <c r="M27" s="25">
        <v>1.0</v>
      </c>
      <c r="N27" s="23">
        <v>1.0</v>
      </c>
      <c r="O27" s="24">
        <v>1.0</v>
      </c>
      <c r="P27" s="25">
        <v>1.0</v>
      </c>
      <c r="Q27" s="23">
        <v>1.0</v>
      </c>
      <c r="R27" s="24">
        <v>1.0</v>
      </c>
      <c r="S27" s="25">
        <v>1.0</v>
      </c>
      <c r="T27" s="33" t="s">
        <v>17</v>
      </c>
      <c r="U27" s="27">
        <v>1000.0</v>
      </c>
      <c r="V27" s="28">
        <f t="shared" si="2"/>
        <v>6500</v>
      </c>
    </row>
    <row r="28">
      <c r="A28" s="30"/>
      <c r="B28" s="30"/>
      <c r="C28" s="31" t="s">
        <v>44</v>
      </c>
      <c r="D28" s="32">
        <v>6.0</v>
      </c>
      <c r="E28" s="23">
        <v>0.0</v>
      </c>
      <c r="F28" s="24">
        <v>0.0</v>
      </c>
      <c r="G28" s="25">
        <v>0.0</v>
      </c>
      <c r="H28" s="23">
        <v>1.0</v>
      </c>
      <c r="I28" s="24">
        <v>1.0</v>
      </c>
      <c r="J28" s="25">
        <v>1.0</v>
      </c>
      <c r="K28" s="23">
        <v>1.0</v>
      </c>
      <c r="L28" s="24">
        <v>1.0</v>
      </c>
      <c r="M28" s="25">
        <v>1.0</v>
      </c>
      <c r="N28" s="23">
        <v>1.0</v>
      </c>
      <c r="O28" s="24">
        <v>1.0</v>
      </c>
      <c r="P28" s="25">
        <v>1.0</v>
      </c>
      <c r="Q28" s="23">
        <v>1.0</v>
      </c>
      <c r="R28" s="24">
        <v>1.0</v>
      </c>
      <c r="S28" s="25">
        <v>1.0</v>
      </c>
      <c r="T28" s="33" t="s">
        <v>17</v>
      </c>
      <c r="U28" s="27">
        <v>500.0</v>
      </c>
      <c r="V28" s="39">
        <v>3500.0</v>
      </c>
    </row>
    <row r="29">
      <c r="A29" s="30"/>
      <c r="B29" s="30"/>
      <c r="C29" s="31" t="s">
        <v>45</v>
      </c>
      <c r="D29" s="32">
        <v>4.0</v>
      </c>
      <c r="E29" s="23">
        <v>0.0</v>
      </c>
      <c r="F29" s="24">
        <v>0.0</v>
      </c>
      <c r="G29" s="25">
        <v>0.0</v>
      </c>
      <c r="H29" s="23">
        <v>1.0</v>
      </c>
      <c r="I29" s="24">
        <v>1.0</v>
      </c>
      <c r="J29" s="25">
        <v>1.0</v>
      </c>
      <c r="K29" s="23">
        <v>1.0</v>
      </c>
      <c r="L29" s="24">
        <v>1.0</v>
      </c>
      <c r="M29" s="25">
        <v>1.0</v>
      </c>
      <c r="N29" s="23">
        <v>1.0</v>
      </c>
      <c r="O29" s="24">
        <v>1.0</v>
      </c>
      <c r="P29" s="25">
        <v>1.0</v>
      </c>
      <c r="Q29" s="23">
        <v>1.0</v>
      </c>
      <c r="R29" s="24">
        <v>1.0</v>
      </c>
      <c r="S29" s="25">
        <v>1.0</v>
      </c>
      <c r="T29" s="33" t="s">
        <v>17</v>
      </c>
      <c r="U29" s="27">
        <v>0.0</v>
      </c>
      <c r="V29" s="39">
        <v>0.0</v>
      </c>
    </row>
    <row r="30">
      <c r="A30" s="51"/>
      <c r="B30" s="51"/>
      <c r="C30" s="31" t="s">
        <v>46</v>
      </c>
      <c r="D30" s="32">
        <v>3.0</v>
      </c>
      <c r="E30" s="23">
        <v>0.0</v>
      </c>
      <c r="F30" s="24">
        <v>0.0</v>
      </c>
      <c r="G30" s="25">
        <v>0.0</v>
      </c>
      <c r="H30" s="23">
        <v>1.0</v>
      </c>
      <c r="I30" s="24">
        <v>1.0</v>
      </c>
      <c r="J30" s="25">
        <v>1.0</v>
      </c>
      <c r="K30" s="23">
        <v>1.0</v>
      </c>
      <c r="L30" s="24">
        <v>1.0</v>
      </c>
      <c r="M30" s="25">
        <v>1.0</v>
      </c>
      <c r="N30" s="23">
        <v>1.0</v>
      </c>
      <c r="O30" s="24">
        <v>1.0</v>
      </c>
      <c r="P30" s="25">
        <v>1.0</v>
      </c>
      <c r="Q30" s="23">
        <v>1.0</v>
      </c>
      <c r="R30" s="24">
        <v>1.0</v>
      </c>
      <c r="S30" s="25">
        <v>1.0</v>
      </c>
      <c r="T30" s="33" t="s">
        <v>17</v>
      </c>
      <c r="U30" s="27">
        <v>0.0</v>
      </c>
      <c r="V30" s="39">
        <v>0.0</v>
      </c>
    </row>
    <row r="31">
      <c r="A31" s="52" t="s">
        <v>47</v>
      </c>
      <c r="B31" s="52">
        <v>9.502139266E9</v>
      </c>
      <c r="C31" s="31" t="s">
        <v>47</v>
      </c>
      <c r="D31" s="32">
        <v>27.0</v>
      </c>
      <c r="E31" s="23">
        <v>0.0</v>
      </c>
      <c r="F31" s="24">
        <v>0.0</v>
      </c>
      <c r="G31" s="25">
        <v>0.0</v>
      </c>
      <c r="H31" s="23">
        <v>1.0</v>
      </c>
      <c r="I31" s="24">
        <v>1.0</v>
      </c>
      <c r="J31" s="25">
        <v>1.0</v>
      </c>
      <c r="K31" s="23">
        <v>1.0</v>
      </c>
      <c r="L31" s="24">
        <v>1.0</v>
      </c>
      <c r="M31" s="25">
        <v>1.0</v>
      </c>
      <c r="N31" s="23">
        <v>1.0</v>
      </c>
      <c r="O31" s="53">
        <v>1.0</v>
      </c>
      <c r="P31" s="25">
        <v>1.0</v>
      </c>
      <c r="Q31" s="23">
        <v>1.0</v>
      </c>
      <c r="R31" s="54">
        <v>0.0</v>
      </c>
      <c r="S31" s="25">
        <v>0.0</v>
      </c>
      <c r="T31" s="33" t="s">
        <v>17</v>
      </c>
      <c r="U31" s="27">
        <v>1000.0</v>
      </c>
      <c r="V31" s="28">
        <f t="shared" ref="V31:V37" si="3">IF(T31="AC",6500,5500)</f>
        <v>6500</v>
      </c>
    </row>
    <row r="32">
      <c r="A32" s="50" t="s">
        <v>48</v>
      </c>
      <c r="B32" s="50">
        <v>9.789020085E9</v>
      </c>
      <c r="C32" s="31" t="s">
        <v>48</v>
      </c>
      <c r="D32" s="32">
        <v>33.0</v>
      </c>
      <c r="E32" s="23">
        <v>0.0</v>
      </c>
      <c r="F32" s="24">
        <v>0.0</v>
      </c>
      <c r="G32" s="25">
        <v>0.0</v>
      </c>
      <c r="H32" s="23">
        <v>1.0</v>
      </c>
      <c r="I32" s="24">
        <v>1.0</v>
      </c>
      <c r="J32" s="25">
        <v>1.0</v>
      </c>
      <c r="K32" s="23">
        <v>1.0</v>
      </c>
      <c r="L32" s="24">
        <v>1.0</v>
      </c>
      <c r="M32" s="25">
        <v>1.0</v>
      </c>
      <c r="N32" s="23">
        <v>1.0</v>
      </c>
      <c r="O32" s="24">
        <v>1.0</v>
      </c>
      <c r="P32" s="25">
        <v>1.0</v>
      </c>
      <c r="Q32" s="23">
        <v>1.0</v>
      </c>
      <c r="R32" s="24">
        <v>1.0</v>
      </c>
      <c r="S32" s="25">
        <v>1.0</v>
      </c>
      <c r="T32" s="33" t="s">
        <v>21</v>
      </c>
      <c r="U32" s="27">
        <v>1000.0</v>
      </c>
      <c r="V32" s="28">
        <f t="shared" si="3"/>
        <v>5500</v>
      </c>
    </row>
    <row r="33">
      <c r="A33" s="51"/>
      <c r="B33" s="51"/>
      <c r="C33" s="31" t="s">
        <v>49</v>
      </c>
      <c r="D33" s="32">
        <v>34.0</v>
      </c>
      <c r="E33" s="23">
        <v>0.0</v>
      </c>
      <c r="F33" s="24">
        <v>0.0</v>
      </c>
      <c r="G33" s="25">
        <v>0.0</v>
      </c>
      <c r="H33" s="23">
        <v>1.0</v>
      </c>
      <c r="I33" s="24">
        <v>1.0</v>
      </c>
      <c r="J33" s="25">
        <v>1.0</v>
      </c>
      <c r="K33" s="23">
        <v>1.0</v>
      </c>
      <c r="L33" s="24">
        <v>1.0</v>
      </c>
      <c r="M33" s="25">
        <v>1.0</v>
      </c>
      <c r="N33" s="23">
        <v>1.0</v>
      </c>
      <c r="O33" s="24">
        <v>1.0</v>
      </c>
      <c r="P33" s="25">
        <v>1.0</v>
      </c>
      <c r="Q33" s="23">
        <v>1.0</v>
      </c>
      <c r="R33" s="24">
        <v>1.0</v>
      </c>
      <c r="S33" s="25">
        <v>1.0</v>
      </c>
      <c r="T33" s="33" t="s">
        <v>21</v>
      </c>
      <c r="U33" s="27">
        <v>1000.0</v>
      </c>
      <c r="V33" s="28">
        <f t="shared" si="3"/>
        <v>5500</v>
      </c>
    </row>
    <row r="34">
      <c r="A34" s="50" t="s">
        <v>50</v>
      </c>
      <c r="B34" s="50">
        <v>8.27748729E9</v>
      </c>
      <c r="C34" s="31" t="s">
        <v>50</v>
      </c>
      <c r="D34" s="32">
        <v>27.0</v>
      </c>
      <c r="E34" s="23">
        <v>0.0</v>
      </c>
      <c r="F34" s="24">
        <v>0.0</v>
      </c>
      <c r="G34" s="25">
        <v>0.0</v>
      </c>
      <c r="H34" s="23">
        <v>1.0</v>
      </c>
      <c r="I34" s="24">
        <v>1.0</v>
      </c>
      <c r="J34" s="25">
        <v>1.0</v>
      </c>
      <c r="K34" s="23">
        <v>1.0</v>
      </c>
      <c r="L34" s="24">
        <v>1.0</v>
      </c>
      <c r="M34" s="25">
        <v>1.0</v>
      </c>
      <c r="N34" s="23">
        <v>1.0</v>
      </c>
      <c r="O34" s="24">
        <v>1.0</v>
      </c>
      <c r="P34" s="25">
        <v>1.0</v>
      </c>
      <c r="Q34" s="23">
        <v>1.0</v>
      </c>
      <c r="R34" s="24">
        <v>1.0</v>
      </c>
      <c r="S34" s="25">
        <v>1.0</v>
      </c>
      <c r="T34" s="33" t="s">
        <v>17</v>
      </c>
      <c r="U34" s="27">
        <v>1000.0</v>
      </c>
      <c r="V34" s="28">
        <f t="shared" si="3"/>
        <v>6500</v>
      </c>
    </row>
    <row r="35">
      <c r="A35" s="51"/>
      <c r="B35" s="51"/>
      <c r="C35" s="31" t="s">
        <v>51</v>
      </c>
      <c r="D35" s="32">
        <v>24.0</v>
      </c>
      <c r="E35" s="23">
        <v>0.0</v>
      </c>
      <c r="F35" s="24">
        <v>0.0</v>
      </c>
      <c r="G35" s="25">
        <v>0.0</v>
      </c>
      <c r="H35" s="23">
        <v>0.0</v>
      </c>
      <c r="I35" s="24">
        <v>0.0</v>
      </c>
      <c r="J35" s="25">
        <v>0.0</v>
      </c>
      <c r="K35" s="23">
        <v>1.0</v>
      </c>
      <c r="L35" s="24">
        <v>1.0</v>
      </c>
      <c r="M35" s="25">
        <v>1.0</v>
      </c>
      <c r="N35" s="23">
        <v>1.0</v>
      </c>
      <c r="O35" s="24">
        <v>1.0</v>
      </c>
      <c r="P35" s="25">
        <v>1.0</v>
      </c>
      <c r="Q35" s="23">
        <v>1.0</v>
      </c>
      <c r="R35" s="24">
        <v>1.0</v>
      </c>
      <c r="S35" s="25">
        <v>1.0</v>
      </c>
      <c r="T35" s="33" t="s">
        <v>17</v>
      </c>
      <c r="U35" s="27">
        <v>1000.0</v>
      </c>
      <c r="V35" s="28">
        <f t="shared" si="3"/>
        <v>6500</v>
      </c>
    </row>
    <row r="36">
      <c r="A36" s="50" t="s">
        <v>52</v>
      </c>
      <c r="B36" s="50">
        <v>9.108759341E9</v>
      </c>
      <c r="C36" s="31" t="s">
        <v>52</v>
      </c>
      <c r="D36" s="32">
        <v>31.0</v>
      </c>
      <c r="E36" s="23">
        <v>0.0</v>
      </c>
      <c r="F36" s="24">
        <v>0.0</v>
      </c>
      <c r="G36" s="25">
        <v>0.0</v>
      </c>
      <c r="H36" s="23">
        <v>1.0</v>
      </c>
      <c r="I36" s="24">
        <v>1.0</v>
      </c>
      <c r="J36" s="25">
        <v>1.0</v>
      </c>
      <c r="K36" s="23">
        <v>1.0</v>
      </c>
      <c r="L36" s="24">
        <v>1.0</v>
      </c>
      <c r="M36" s="25">
        <v>1.0</v>
      </c>
      <c r="N36" s="23">
        <v>1.0</v>
      </c>
      <c r="O36" s="24">
        <v>2.0</v>
      </c>
      <c r="P36" s="25">
        <v>0.0</v>
      </c>
      <c r="Q36" s="23">
        <v>0.0</v>
      </c>
      <c r="R36" s="24">
        <v>0.0</v>
      </c>
      <c r="S36" s="25">
        <v>0.0</v>
      </c>
      <c r="T36" s="33" t="s">
        <v>17</v>
      </c>
      <c r="U36" s="27">
        <v>1000.0</v>
      </c>
      <c r="V36" s="28">
        <f t="shared" si="3"/>
        <v>6500</v>
      </c>
    </row>
    <row r="37">
      <c r="A37" s="30"/>
      <c r="B37" s="30"/>
      <c r="C37" s="31" t="s">
        <v>53</v>
      </c>
      <c r="D37" s="32">
        <v>28.0</v>
      </c>
      <c r="E37" s="23">
        <v>0.0</v>
      </c>
      <c r="F37" s="24">
        <v>0.0</v>
      </c>
      <c r="G37" s="25">
        <v>0.0</v>
      </c>
      <c r="H37" s="23">
        <v>1.0</v>
      </c>
      <c r="I37" s="24">
        <v>1.0</v>
      </c>
      <c r="J37" s="25">
        <v>1.0</v>
      </c>
      <c r="K37" s="23">
        <v>1.0</v>
      </c>
      <c r="L37" s="24">
        <v>1.0</v>
      </c>
      <c r="M37" s="25">
        <v>1.0</v>
      </c>
      <c r="N37" s="23">
        <v>1.0</v>
      </c>
      <c r="O37" s="24">
        <v>2.0</v>
      </c>
      <c r="P37" s="25">
        <v>0.0</v>
      </c>
      <c r="Q37" s="23">
        <v>0.0</v>
      </c>
      <c r="R37" s="24">
        <v>0.0</v>
      </c>
      <c r="S37" s="25">
        <v>0.0</v>
      </c>
      <c r="T37" s="33" t="s">
        <v>17</v>
      </c>
      <c r="U37" s="27">
        <v>1000.0</v>
      </c>
      <c r="V37" s="28">
        <f t="shared" si="3"/>
        <v>6500</v>
      </c>
    </row>
    <row r="38">
      <c r="A38" s="51"/>
      <c r="B38" s="51"/>
      <c r="C38" s="31" t="s">
        <v>54</v>
      </c>
      <c r="D38" s="32">
        <v>1.0</v>
      </c>
      <c r="E38" s="23">
        <v>0.0</v>
      </c>
      <c r="F38" s="24">
        <v>0.0</v>
      </c>
      <c r="G38" s="25">
        <v>0.0</v>
      </c>
      <c r="H38" s="23">
        <v>1.0</v>
      </c>
      <c r="I38" s="24">
        <v>1.0</v>
      </c>
      <c r="J38" s="25">
        <v>1.0</v>
      </c>
      <c r="K38" s="23">
        <v>1.0</v>
      </c>
      <c r="L38" s="24">
        <v>1.0</v>
      </c>
      <c r="M38" s="25">
        <v>1.0</v>
      </c>
      <c r="N38" s="23">
        <v>1.0</v>
      </c>
      <c r="O38" s="24">
        <v>2.0</v>
      </c>
      <c r="P38" s="25">
        <v>0.0</v>
      </c>
      <c r="Q38" s="23">
        <v>0.0</v>
      </c>
      <c r="R38" s="24">
        <v>0.0</v>
      </c>
      <c r="S38" s="25">
        <v>0.0</v>
      </c>
      <c r="T38" s="33" t="s">
        <v>17</v>
      </c>
      <c r="U38" s="27">
        <v>0.0</v>
      </c>
      <c r="V38" s="39">
        <v>0.0</v>
      </c>
    </row>
    <row r="39">
      <c r="A39" s="52" t="s">
        <v>55</v>
      </c>
      <c r="B39" s="52">
        <v>9.88468282E9</v>
      </c>
      <c r="C39" s="31" t="s">
        <v>55</v>
      </c>
      <c r="D39" s="32">
        <v>31.0</v>
      </c>
      <c r="E39" s="23">
        <v>0.0</v>
      </c>
      <c r="F39" s="24">
        <v>0.0</v>
      </c>
      <c r="G39" s="25">
        <v>0.0</v>
      </c>
      <c r="H39" s="23">
        <v>1.0</v>
      </c>
      <c r="I39" s="24">
        <v>1.0</v>
      </c>
      <c r="J39" s="25">
        <v>1.0</v>
      </c>
      <c r="K39" s="23">
        <v>1.0</v>
      </c>
      <c r="L39" s="24">
        <v>1.0</v>
      </c>
      <c r="M39" s="25">
        <v>1.0</v>
      </c>
      <c r="N39" s="23">
        <v>1.0</v>
      </c>
      <c r="O39" s="24">
        <v>1.0</v>
      </c>
      <c r="P39" s="25">
        <v>1.0</v>
      </c>
      <c r="Q39" s="23">
        <v>0.0</v>
      </c>
      <c r="R39" s="24">
        <v>0.0</v>
      </c>
      <c r="S39" s="25">
        <v>0.0</v>
      </c>
      <c r="T39" s="33" t="s">
        <v>21</v>
      </c>
      <c r="U39" s="27">
        <v>1000.0</v>
      </c>
      <c r="V39" s="28">
        <f t="shared" ref="V39:V43" si="4">IF(T39="AC",6500,5500)</f>
        <v>5500</v>
      </c>
    </row>
    <row r="40">
      <c r="A40" s="50" t="s">
        <v>36</v>
      </c>
      <c r="B40" s="50">
        <v>9.381002799E9</v>
      </c>
      <c r="C40" s="31" t="s">
        <v>56</v>
      </c>
      <c r="D40" s="32">
        <v>50.0</v>
      </c>
      <c r="E40" s="23">
        <v>1.0</v>
      </c>
      <c r="F40" s="24">
        <v>1.0</v>
      </c>
      <c r="G40" s="25">
        <v>1.0</v>
      </c>
      <c r="H40" s="23">
        <v>1.0</v>
      </c>
      <c r="I40" s="24">
        <v>1.0</v>
      </c>
      <c r="J40" s="25">
        <v>1.0</v>
      </c>
      <c r="K40" s="23">
        <v>1.0</v>
      </c>
      <c r="L40" s="24">
        <v>1.0</v>
      </c>
      <c r="M40" s="25">
        <v>1.0</v>
      </c>
      <c r="N40" s="23">
        <v>1.0</v>
      </c>
      <c r="O40" s="24">
        <v>1.0</v>
      </c>
      <c r="P40" s="25">
        <v>1.0</v>
      </c>
      <c r="Q40" s="23">
        <v>1.0</v>
      </c>
      <c r="R40" s="24">
        <v>1.0</v>
      </c>
      <c r="S40" s="25">
        <v>1.0</v>
      </c>
      <c r="T40" s="33" t="s">
        <v>17</v>
      </c>
      <c r="U40" s="27">
        <v>1000.0</v>
      </c>
      <c r="V40" s="28">
        <f t="shared" si="4"/>
        <v>6500</v>
      </c>
    </row>
    <row r="41">
      <c r="A41" s="51"/>
      <c r="B41" s="51"/>
      <c r="C41" s="31" t="s">
        <v>57</v>
      </c>
      <c r="D41" s="32">
        <v>23.0</v>
      </c>
      <c r="E41" s="23">
        <v>1.0</v>
      </c>
      <c r="F41" s="24">
        <v>1.0</v>
      </c>
      <c r="G41" s="25">
        <v>1.0</v>
      </c>
      <c r="H41" s="23">
        <v>1.0</v>
      </c>
      <c r="I41" s="24">
        <v>1.0</v>
      </c>
      <c r="J41" s="25">
        <v>1.0</v>
      </c>
      <c r="K41" s="23">
        <v>1.0</v>
      </c>
      <c r="L41" s="24">
        <v>1.0</v>
      </c>
      <c r="M41" s="25">
        <v>1.0</v>
      </c>
      <c r="N41" s="23">
        <v>1.0</v>
      </c>
      <c r="O41" s="24">
        <v>1.0</v>
      </c>
      <c r="P41" s="25">
        <v>1.0</v>
      </c>
      <c r="Q41" s="23">
        <v>1.0</v>
      </c>
      <c r="R41" s="24">
        <v>1.0</v>
      </c>
      <c r="S41" s="25">
        <v>1.0</v>
      </c>
      <c r="T41" s="33" t="s">
        <v>17</v>
      </c>
      <c r="U41" s="27">
        <v>1000.0</v>
      </c>
      <c r="V41" s="28">
        <f t="shared" si="4"/>
        <v>6500</v>
      </c>
    </row>
    <row r="42">
      <c r="A42" s="50" t="s">
        <v>58</v>
      </c>
      <c r="B42" s="50">
        <v>9.84056777E9</v>
      </c>
      <c r="C42" s="31" t="s">
        <v>58</v>
      </c>
      <c r="D42" s="32">
        <v>40.0</v>
      </c>
      <c r="E42" s="23">
        <v>0.0</v>
      </c>
      <c r="F42" s="24">
        <v>0.0</v>
      </c>
      <c r="G42" s="25">
        <v>0.0</v>
      </c>
      <c r="H42" s="23">
        <v>1.0</v>
      </c>
      <c r="I42" s="24">
        <v>1.0</v>
      </c>
      <c r="J42" s="25">
        <v>1.0</v>
      </c>
      <c r="K42" s="23">
        <v>1.0</v>
      </c>
      <c r="L42" s="24">
        <v>1.0</v>
      </c>
      <c r="M42" s="25">
        <v>1.0</v>
      </c>
      <c r="N42" s="23">
        <v>1.0</v>
      </c>
      <c r="O42" s="24">
        <v>1.0</v>
      </c>
      <c r="P42" s="25">
        <v>1.0</v>
      </c>
      <c r="Q42" s="23">
        <v>1.0</v>
      </c>
      <c r="R42" s="24">
        <v>1.0</v>
      </c>
      <c r="S42" s="25">
        <v>1.0</v>
      </c>
      <c r="T42" s="33" t="s">
        <v>17</v>
      </c>
      <c r="U42" s="27">
        <v>1000.0</v>
      </c>
      <c r="V42" s="55">
        <f t="shared" si="4"/>
        <v>6500</v>
      </c>
    </row>
    <row r="43">
      <c r="A43" s="30"/>
      <c r="B43" s="30"/>
      <c r="C43" s="31" t="s">
        <v>59</v>
      </c>
      <c r="D43" s="32">
        <v>38.0</v>
      </c>
      <c r="E43" s="23">
        <v>0.0</v>
      </c>
      <c r="F43" s="24">
        <v>0.0</v>
      </c>
      <c r="G43" s="25">
        <v>0.0</v>
      </c>
      <c r="H43" s="23">
        <v>1.0</v>
      </c>
      <c r="I43" s="24">
        <v>1.0</v>
      </c>
      <c r="J43" s="25">
        <v>1.0</v>
      </c>
      <c r="K43" s="23">
        <v>1.0</v>
      </c>
      <c r="L43" s="24">
        <v>1.0</v>
      </c>
      <c r="M43" s="25">
        <v>1.0</v>
      </c>
      <c r="N43" s="23">
        <v>1.0</v>
      </c>
      <c r="O43" s="24">
        <v>1.0</v>
      </c>
      <c r="P43" s="25">
        <v>1.0</v>
      </c>
      <c r="Q43" s="23">
        <v>1.0</v>
      </c>
      <c r="R43" s="24">
        <v>1.0</v>
      </c>
      <c r="S43" s="25">
        <v>1.0</v>
      </c>
      <c r="T43" s="33" t="s">
        <v>17</v>
      </c>
      <c r="U43" s="27">
        <v>1000.0</v>
      </c>
      <c r="V43" s="28">
        <f t="shared" si="4"/>
        <v>6500</v>
      </c>
    </row>
    <row r="44">
      <c r="A44" s="30"/>
      <c r="B44" s="30"/>
      <c r="C44" s="31" t="s">
        <v>60</v>
      </c>
      <c r="D44" s="32">
        <v>11.0</v>
      </c>
      <c r="E44" s="23">
        <v>0.0</v>
      </c>
      <c r="F44" s="24">
        <v>0.0</v>
      </c>
      <c r="G44" s="25">
        <v>0.0</v>
      </c>
      <c r="H44" s="23">
        <v>1.0</v>
      </c>
      <c r="I44" s="24">
        <v>1.0</v>
      </c>
      <c r="J44" s="25">
        <v>1.0</v>
      </c>
      <c r="K44" s="23">
        <v>1.0</v>
      </c>
      <c r="L44" s="24">
        <v>1.0</v>
      </c>
      <c r="M44" s="25">
        <v>1.0</v>
      </c>
      <c r="N44" s="23">
        <v>1.0</v>
      </c>
      <c r="O44" s="24">
        <v>1.0</v>
      </c>
      <c r="P44" s="25">
        <v>1.0</v>
      </c>
      <c r="Q44" s="23">
        <v>1.0</v>
      </c>
      <c r="R44" s="24">
        <v>1.0</v>
      </c>
      <c r="S44" s="25">
        <v>1.0</v>
      </c>
      <c r="T44" s="33" t="s">
        <v>17</v>
      </c>
      <c r="U44" s="27">
        <v>500.0</v>
      </c>
      <c r="V44" s="39">
        <v>3500.0</v>
      </c>
    </row>
    <row r="45">
      <c r="A45" s="30"/>
      <c r="B45" s="30"/>
      <c r="C45" s="31" t="s">
        <v>61</v>
      </c>
      <c r="D45" s="32">
        <v>63.0</v>
      </c>
      <c r="E45" s="23">
        <v>0.0</v>
      </c>
      <c r="F45" s="24">
        <v>0.0</v>
      </c>
      <c r="G45" s="25">
        <v>0.0</v>
      </c>
      <c r="H45" s="23">
        <v>1.0</v>
      </c>
      <c r="I45" s="24">
        <v>1.0</v>
      </c>
      <c r="J45" s="25">
        <v>1.0</v>
      </c>
      <c r="K45" s="23">
        <v>1.0</v>
      </c>
      <c r="L45" s="24">
        <v>1.0</v>
      </c>
      <c r="M45" s="25">
        <v>1.0</v>
      </c>
      <c r="N45" s="23">
        <v>1.0</v>
      </c>
      <c r="O45" s="24">
        <v>1.0</v>
      </c>
      <c r="P45" s="25">
        <v>1.0</v>
      </c>
      <c r="Q45" s="23">
        <v>1.0</v>
      </c>
      <c r="R45" s="24">
        <v>1.0</v>
      </c>
      <c r="S45" s="25">
        <v>1.0</v>
      </c>
      <c r="T45" s="33" t="s">
        <v>17</v>
      </c>
      <c r="U45" s="27">
        <v>1000.0</v>
      </c>
      <c r="V45" s="28">
        <f t="shared" ref="V45:V47" si="5">IF(T45="AC",6500,5500)</f>
        <v>6500</v>
      </c>
    </row>
    <row r="46">
      <c r="A46" s="30"/>
      <c r="B46" s="30"/>
      <c r="C46" s="31" t="s">
        <v>62</v>
      </c>
      <c r="D46" s="32">
        <v>40.0</v>
      </c>
      <c r="E46" s="23">
        <v>0.0</v>
      </c>
      <c r="F46" s="24">
        <v>0.0</v>
      </c>
      <c r="G46" s="25">
        <v>0.0</v>
      </c>
      <c r="H46" s="23">
        <v>1.0</v>
      </c>
      <c r="I46" s="24">
        <v>1.0</v>
      </c>
      <c r="J46" s="25">
        <v>1.0</v>
      </c>
      <c r="K46" s="23">
        <v>1.0</v>
      </c>
      <c r="L46" s="24">
        <v>1.0</v>
      </c>
      <c r="M46" s="25">
        <v>1.0</v>
      </c>
      <c r="N46" s="23">
        <v>1.0</v>
      </c>
      <c r="O46" s="24">
        <v>1.0</v>
      </c>
      <c r="P46" s="25">
        <v>1.0</v>
      </c>
      <c r="Q46" s="23">
        <v>1.0</v>
      </c>
      <c r="R46" s="24">
        <v>1.0</v>
      </c>
      <c r="S46" s="25">
        <v>1.0</v>
      </c>
      <c r="T46" s="33" t="s">
        <v>17</v>
      </c>
      <c r="U46" s="27">
        <v>1000.0</v>
      </c>
      <c r="V46" s="28">
        <f t="shared" si="5"/>
        <v>6500</v>
      </c>
    </row>
    <row r="47">
      <c r="A47" s="30"/>
      <c r="B47" s="30"/>
      <c r="C47" s="31" t="s">
        <v>63</v>
      </c>
      <c r="D47" s="32">
        <v>35.0</v>
      </c>
      <c r="E47" s="23">
        <v>0.0</v>
      </c>
      <c r="F47" s="24">
        <v>0.0</v>
      </c>
      <c r="G47" s="25">
        <v>0.0</v>
      </c>
      <c r="H47" s="23">
        <v>1.0</v>
      </c>
      <c r="I47" s="24">
        <v>1.0</v>
      </c>
      <c r="J47" s="25">
        <v>1.0</v>
      </c>
      <c r="K47" s="23">
        <v>1.0</v>
      </c>
      <c r="L47" s="24">
        <v>1.0</v>
      </c>
      <c r="M47" s="25">
        <v>1.0</v>
      </c>
      <c r="N47" s="23">
        <v>1.0</v>
      </c>
      <c r="O47" s="24">
        <v>1.0</v>
      </c>
      <c r="P47" s="25">
        <v>1.0</v>
      </c>
      <c r="Q47" s="23">
        <v>1.0</v>
      </c>
      <c r="R47" s="24">
        <v>1.0</v>
      </c>
      <c r="S47" s="25">
        <v>1.0</v>
      </c>
      <c r="T47" s="33" t="s">
        <v>17</v>
      </c>
      <c r="U47" s="27">
        <v>1000.0</v>
      </c>
      <c r="V47" s="28">
        <f t="shared" si="5"/>
        <v>6500</v>
      </c>
    </row>
    <row r="48">
      <c r="A48" s="30"/>
      <c r="B48" s="30"/>
      <c r="C48" s="31" t="s">
        <v>64</v>
      </c>
      <c r="D48" s="32">
        <v>9.0</v>
      </c>
      <c r="E48" s="23">
        <v>0.0</v>
      </c>
      <c r="F48" s="24">
        <v>0.0</v>
      </c>
      <c r="G48" s="25">
        <v>0.0</v>
      </c>
      <c r="H48" s="23">
        <v>1.0</v>
      </c>
      <c r="I48" s="24">
        <v>1.0</v>
      </c>
      <c r="J48" s="25">
        <v>1.0</v>
      </c>
      <c r="K48" s="23">
        <v>1.0</v>
      </c>
      <c r="L48" s="24">
        <v>1.0</v>
      </c>
      <c r="M48" s="25">
        <v>1.0</v>
      </c>
      <c r="N48" s="23">
        <v>1.0</v>
      </c>
      <c r="O48" s="24">
        <v>1.0</v>
      </c>
      <c r="P48" s="25">
        <v>1.0</v>
      </c>
      <c r="Q48" s="23">
        <v>1.0</v>
      </c>
      <c r="R48" s="24">
        <v>1.0</v>
      </c>
      <c r="S48" s="25">
        <v>1.0</v>
      </c>
      <c r="T48" s="33" t="s">
        <v>17</v>
      </c>
      <c r="U48" s="27">
        <v>500.0</v>
      </c>
      <c r="V48" s="39">
        <v>3500.0</v>
      </c>
    </row>
    <row r="49">
      <c r="A49" s="51"/>
      <c r="B49" s="51"/>
      <c r="C49" s="31" t="s">
        <v>65</v>
      </c>
      <c r="D49" s="32">
        <v>3.0</v>
      </c>
      <c r="E49" s="23">
        <v>0.0</v>
      </c>
      <c r="F49" s="24">
        <v>0.0</v>
      </c>
      <c r="G49" s="25">
        <v>0.0</v>
      </c>
      <c r="H49" s="23">
        <v>1.0</v>
      </c>
      <c r="I49" s="24">
        <v>1.0</v>
      </c>
      <c r="J49" s="25">
        <v>1.0</v>
      </c>
      <c r="K49" s="23">
        <v>1.0</v>
      </c>
      <c r="L49" s="24">
        <v>1.0</v>
      </c>
      <c r="M49" s="25">
        <v>1.0</v>
      </c>
      <c r="N49" s="23">
        <v>1.0</v>
      </c>
      <c r="O49" s="24">
        <v>1.0</v>
      </c>
      <c r="P49" s="25">
        <v>1.0</v>
      </c>
      <c r="Q49" s="23">
        <v>1.0</v>
      </c>
      <c r="R49" s="24">
        <v>1.0</v>
      </c>
      <c r="S49" s="25">
        <v>1.0</v>
      </c>
      <c r="T49" s="33" t="s">
        <v>17</v>
      </c>
      <c r="U49" s="27">
        <v>0.0</v>
      </c>
      <c r="V49" s="39">
        <v>0.0</v>
      </c>
    </row>
    <row r="50">
      <c r="A50" s="50" t="s">
        <v>66</v>
      </c>
      <c r="B50" s="50">
        <v>9.493239649E9</v>
      </c>
      <c r="C50" s="31" t="s">
        <v>66</v>
      </c>
      <c r="D50" s="32">
        <v>26.0</v>
      </c>
      <c r="E50" s="23">
        <v>0.0</v>
      </c>
      <c r="F50" s="24">
        <v>0.0</v>
      </c>
      <c r="G50" s="25">
        <v>0.0</v>
      </c>
      <c r="H50" s="23">
        <v>1.0</v>
      </c>
      <c r="I50" s="24">
        <v>1.0</v>
      </c>
      <c r="J50" s="25">
        <v>1.0</v>
      </c>
      <c r="K50" s="23">
        <v>1.0</v>
      </c>
      <c r="L50" s="24">
        <v>1.0</v>
      </c>
      <c r="M50" s="25">
        <v>1.0</v>
      </c>
      <c r="N50" s="23">
        <v>1.0</v>
      </c>
      <c r="O50" s="24">
        <v>1.0</v>
      </c>
      <c r="P50" s="25">
        <v>1.0</v>
      </c>
      <c r="Q50" s="23">
        <v>1.0</v>
      </c>
      <c r="R50" s="24">
        <v>1.0</v>
      </c>
      <c r="S50" s="25">
        <v>1.0</v>
      </c>
      <c r="T50" s="33" t="s">
        <v>17</v>
      </c>
      <c r="U50" s="27">
        <v>1000.0</v>
      </c>
      <c r="V50" s="28">
        <f t="shared" ref="V50:V67" si="6">IF(T50="AC",6500,5500)</f>
        <v>6500</v>
      </c>
    </row>
    <row r="51">
      <c r="A51" s="30"/>
      <c r="B51" s="30"/>
      <c r="C51" s="31" t="s">
        <v>67</v>
      </c>
      <c r="D51" s="32">
        <v>62.0</v>
      </c>
      <c r="E51" s="23">
        <v>0.0</v>
      </c>
      <c r="F51" s="24">
        <v>0.0</v>
      </c>
      <c r="G51" s="25">
        <v>0.0</v>
      </c>
      <c r="H51" s="23">
        <v>1.0</v>
      </c>
      <c r="I51" s="24">
        <v>1.0</v>
      </c>
      <c r="J51" s="25">
        <v>1.0</v>
      </c>
      <c r="K51" s="23">
        <v>1.0</v>
      </c>
      <c r="L51" s="24">
        <v>1.0</v>
      </c>
      <c r="M51" s="25">
        <v>1.0</v>
      </c>
      <c r="N51" s="23">
        <v>1.0</v>
      </c>
      <c r="O51" s="24">
        <v>1.0</v>
      </c>
      <c r="P51" s="25">
        <v>1.0</v>
      </c>
      <c r="Q51" s="23">
        <v>1.0</v>
      </c>
      <c r="R51" s="24">
        <v>1.0</v>
      </c>
      <c r="S51" s="25">
        <v>1.0</v>
      </c>
      <c r="T51" s="33" t="s">
        <v>17</v>
      </c>
      <c r="U51" s="27">
        <v>1000.0</v>
      </c>
      <c r="V51" s="28">
        <f t="shared" si="6"/>
        <v>6500</v>
      </c>
    </row>
    <row r="52">
      <c r="A52" s="30"/>
      <c r="B52" s="30"/>
      <c r="C52" s="31" t="s">
        <v>68</v>
      </c>
      <c r="D52" s="32">
        <v>52.0</v>
      </c>
      <c r="E52" s="23">
        <v>0.0</v>
      </c>
      <c r="F52" s="24">
        <v>0.0</v>
      </c>
      <c r="G52" s="25">
        <v>0.0</v>
      </c>
      <c r="H52" s="23">
        <v>1.0</v>
      </c>
      <c r="I52" s="24">
        <v>1.0</v>
      </c>
      <c r="J52" s="25">
        <v>1.0</v>
      </c>
      <c r="K52" s="23">
        <v>1.0</v>
      </c>
      <c r="L52" s="24">
        <v>1.0</v>
      </c>
      <c r="M52" s="25">
        <v>1.0</v>
      </c>
      <c r="N52" s="23">
        <v>1.0</v>
      </c>
      <c r="O52" s="24">
        <v>1.0</v>
      </c>
      <c r="P52" s="25">
        <v>1.0</v>
      </c>
      <c r="Q52" s="23">
        <v>1.0</v>
      </c>
      <c r="R52" s="24">
        <v>1.0</v>
      </c>
      <c r="S52" s="25">
        <v>1.0</v>
      </c>
      <c r="T52" s="33" t="s">
        <v>17</v>
      </c>
      <c r="U52" s="27">
        <v>1000.0</v>
      </c>
      <c r="V52" s="28">
        <f t="shared" si="6"/>
        <v>6500</v>
      </c>
    </row>
    <row r="53">
      <c r="A53" s="51"/>
      <c r="B53" s="51"/>
      <c r="C53" s="31" t="s">
        <v>69</v>
      </c>
      <c r="D53" s="32">
        <v>44.0</v>
      </c>
      <c r="E53" s="23">
        <v>0.0</v>
      </c>
      <c r="F53" s="24">
        <v>0.0</v>
      </c>
      <c r="G53" s="25">
        <v>0.0</v>
      </c>
      <c r="H53" s="23">
        <v>1.0</v>
      </c>
      <c r="I53" s="24">
        <v>1.0</v>
      </c>
      <c r="J53" s="25">
        <v>1.0</v>
      </c>
      <c r="K53" s="23">
        <v>1.0</v>
      </c>
      <c r="L53" s="24">
        <v>1.0</v>
      </c>
      <c r="M53" s="25">
        <v>1.0</v>
      </c>
      <c r="N53" s="23">
        <v>1.0</v>
      </c>
      <c r="O53" s="24">
        <v>1.0</v>
      </c>
      <c r="P53" s="25">
        <v>1.0</v>
      </c>
      <c r="Q53" s="23">
        <v>1.0</v>
      </c>
      <c r="R53" s="24">
        <v>1.0</v>
      </c>
      <c r="S53" s="25">
        <v>1.0</v>
      </c>
      <c r="T53" s="33" t="s">
        <v>17</v>
      </c>
      <c r="U53" s="27">
        <v>1000.0</v>
      </c>
      <c r="V53" s="28">
        <f t="shared" si="6"/>
        <v>6500</v>
      </c>
    </row>
    <row r="54">
      <c r="A54" s="50" t="s">
        <v>70</v>
      </c>
      <c r="B54" s="50">
        <v>6.302497806E9</v>
      </c>
      <c r="C54" s="31" t="s">
        <v>70</v>
      </c>
      <c r="D54" s="32">
        <v>22.0</v>
      </c>
      <c r="E54" s="23">
        <v>0.0</v>
      </c>
      <c r="F54" s="24">
        <v>0.0</v>
      </c>
      <c r="G54" s="25">
        <v>0.0</v>
      </c>
      <c r="H54" s="23">
        <v>0.0</v>
      </c>
      <c r="I54" s="24">
        <v>0.0</v>
      </c>
      <c r="J54" s="25">
        <v>0.0</v>
      </c>
      <c r="K54" s="23">
        <v>0.0</v>
      </c>
      <c r="L54" s="24">
        <v>0.0</v>
      </c>
      <c r="M54" s="25">
        <v>0.0</v>
      </c>
      <c r="N54" s="23">
        <v>1.0</v>
      </c>
      <c r="O54" s="24">
        <v>1.0</v>
      </c>
      <c r="P54" s="25">
        <v>1.0</v>
      </c>
      <c r="Q54" s="23">
        <v>1.0</v>
      </c>
      <c r="R54" s="24">
        <v>1.0</v>
      </c>
      <c r="S54" s="25">
        <v>1.0</v>
      </c>
      <c r="T54" s="33" t="s">
        <v>21</v>
      </c>
      <c r="U54" s="27">
        <v>1000.0</v>
      </c>
      <c r="V54" s="28">
        <f t="shared" si="6"/>
        <v>5500</v>
      </c>
    </row>
    <row r="55">
      <c r="A55" s="30"/>
      <c r="B55" s="30"/>
      <c r="C55" s="31" t="s">
        <v>71</v>
      </c>
      <c r="D55" s="32">
        <v>23.0</v>
      </c>
      <c r="E55" s="23">
        <v>0.0</v>
      </c>
      <c r="F55" s="24">
        <v>0.0</v>
      </c>
      <c r="G55" s="25">
        <v>1.0</v>
      </c>
      <c r="H55" s="23">
        <v>1.0</v>
      </c>
      <c r="I55" s="24">
        <v>1.0</v>
      </c>
      <c r="J55" s="25">
        <v>1.0</v>
      </c>
      <c r="K55" s="23">
        <v>1.0</v>
      </c>
      <c r="L55" s="24">
        <v>1.0</v>
      </c>
      <c r="M55" s="25">
        <v>1.0</v>
      </c>
      <c r="N55" s="23">
        <v>1.0</v>
      </c>
      <c r="O55" s="24">
        <v>1.0</v>
      </c>
      <c r="P55" s="25">
        <v>1.0</v>
      </c>
      <c r="Q55" s="23">
        <v>1.0</v>
      </c>
      <c r="R55" s="24">
        <v>1.0</v>
      </c>
      <c r="S55" s="25">
        <v>1.0</v>
      </c>
      <c r="T55" s="33" t="s">
        <v>21</v>
      </c>
      <c r="U55" s="27">
        <v>1000.0</v>
      </c>
      <c r="V55" s="28">
        <f t="shared" si="6"/>
        <v>5500</v>
      </c>
    </row>
    <row r="56">
      <c r="A56" s="30"/>
      <c r="B56" s="30"/>
      <c r="C56" s="31" t="s">
        <v>72</v>
      </c>
      <c r="D56" s="32">
        <v>22.0</v>
      </c>
      <c r="E56" s="23">
        <v>0.0</v>
      </c>
      <c r="F56" s="24">
        <v>0.0</v>
      </c>
      <c r="G56" s="25">
        <v>1.0</v>
      </c>
      <c r="H56" s="23">
        <v>1.0</v>
      </c>
      <c r="I56" s="24">
        <v>1.0</v>
      </c>
      <c r="J56" s="25">
        <v>1.0</v>
      </c>
      <c r="K56" s="23">
        <v>1.0</v>
      </c>
      <c r="L56" s="24">
        <v>1.0</v>
      </c>
      <c r="M56" s="25">
        <v>1.0</v>
      </c>
      <c r="N56" s="23">
        <v>1.0</v>
      </c>
      <c r="O56" s="24">
        <v>1.0</v>
      </c>
      <c r="P56" s="25">
        <v>1.0</v>
      </c>
      <c r="Q56" s="23">
        <v>1.0</v>
      </c>
      <c r="R56" s="24">
        <v>1.0</v>
      </c>
      <c r="S56" s="25">
        <v>1.0</v>
      </c>
      <c r="T56" s="33" t="s">
        <v>21</v>
      </c>
      <c r="U56" s="27">
        <v>1000.0</v>
      </c>
      <c r="V56" s="28">
        <f t="shared" si="6"/>
        <v>5500</v>
      </c>
    </row>
    <row r="57">
      <c r="A57" s="30"/>
      <c r="B57" s="30"/>
      <c r="C57" s="31" t="s">
        <v>73</v>
      </c>
      <c r="D57" s="32">
        <v>24.0</v>
      </c>
      <c r="E57" s="23">
        <v>0.0</v>
      </c>
      <c r="F57" s="24">
        <v>0.0</v>
      </c>
      <c r="G57" s="25">
        <v>1.0</v>
      </c>
      <c r="H57" s="23">
        <v>1.0</v>
      </c>
      <c r="I57" s="24">
        <v>1.0</v>
      </c>
      <c r="J57" s="25">
        <v>1.0</v>
      </c>
      <c r="K57" s="23">
        <v>1.0</v>
      </c>
      <c r="L57" s="24">
        <v>1.0</v>
      </c>
      <c r="M57" s="25">
        <v>1.0</v>
      </c>
      <c r="N57" s="23">
        <v>1.0</v>
      </c>
      <c r="O57" s="24">
        <v>1.0</v>
      </c>
      <c r="P57" s="25">
        <v>1.0</v>
      </c>
      <c r="Q57" s="23">
        <v>1.0</v>
      </c>
      <c r="R57" s="24">
        <v>1.0</v>
      </c>
      <c r="S57" s="25">
        <v>1.0</v>
      </c>
      <c r="T57" s="33" t="s">
        <v>21</v>
      </c>
      <c r="U57" s="27">
        <v>1000.0</v>
      </c>
      <c r="V57" s="28">
        <f t="shared" si="6"/>
        <v>5500</v>
      </c>
    </row>
    <row r="58">
      <c r="A58" s="30"/>
      <c r="B58" s="30"/>
      <c r="C58" s="31" t="s">
        <v>74</v>
      </c>
      <c r="D58" s="32">
        <v>23.0</v>
      </c>
      <c r="E58" s="23">
        <v>0.0</v>
      </c>
      <c r="F58" s="24">
        <v>0.0</v>
      </c>
      <c r="G58" s="25">
        <v>1.0</v>
      </c>
      <c r="H58" s="23">
        <v>1.0</v>
      </c>
      <c r="I58" s="24">
        <v>1.0</v>
      </c>
      <c r="J58" s="25">
        <v>1.0</v>
      </c>
      <c r="K58" s="23">
        <v>1.0</v>
      </c>
      <c r="L58" s="24">
        <v>1.0</v>
      </c>
      <c r="M58" s="25">
        <v>1.0</v>
      </c>
      <c r="N58" s="23">
        <v>1.0</v>
      </c>
      <c r="O58" s="24">
        <v>1.0</v>
      </c>
      <c r="P58" s="25">
        <v>1.0</v>
      </c>
      <c r="Q58" s="23">
        <v>1.0</v>
      </c>
      <c r="R58" s="24">
        <v>1.0</v>
      </c>
      <c r="S58" s="25">
        <v>1.0</v>
      </c>
      <c r="T58" s="33" t="s">
        <v>21</v>
      </c>
      <c r="U58" s="27">
        <v>1000.0</v>
      </c>
      <c r="V58" s="28">
        <f t="shared" si="6"/>
        <v>5500</v>
      </c>
    </row>
    <row r="59">
      <c r="A59" s="30"/>
      <c r="B59" s="30"/>
      <c r="C59" s="31" t="s">
        <v>75</v>
      </c>
      <c r="D59" s="32">
        <v>23.0</v>
      </c>
      <c r="E59" s="23">
        <v>0.0</v>
      </c>
      <c r="F59" s="24">
        <v>0.0</v>
      </c>
      <c r="G59" s="25">
        <v>1.0</v>
      </c>
      <c r="H59" s="23">
        <v>1.0</v>
      </c>
      <c r="I59" s="24">
        <v>1.0</v>
      </c>
      <c r="J59" s="25">
        <v>1.0</v>
      </c>
      <c r="K59" s="23">
        <v>1.0</v>
      </c>
      <c r="L59" s="24">
        <v>1.0</v>
      </c>
      <c r="M59" s="25">
        <v>1.0</v>
      </c>
      <c r="N59" s="23">
        <v>1.0</v>
      </c>
      <c r="O59" s="24">
        <v>1.0</v>
      </c>
      <c r="P59" s="25">
        <v>1.0</v>
      </c>
      <c r="Q59" s="23">
        <v>1.0</v>
      </c>
      <c r="R59" s="24">
        <v>1.0</v>
      </c>
      <c r="S59" s="25">
        <v>1.0</v>
      </c>
      <c r="T59" s="33" t="s">
        <v>21</v>
      </c>
      <c r="U59" s="27">
        <v>1000.0</v>
      </c>
      <c r="V59" s="28">
        <f t="shared" si="6"/>
        <v>5500</v>
      </c>
    </row>
    <row r="60">
      <c r="A60" s="30"/>
      <c r="B60" s="30"/>
      <c r="C60" s="31" t="s">
        <v>76</v>
      </c>
      <c r="D60" s="32">
        <v>45.0</v>
      </c>
      <c r="E60" s="23">
        <v>0.0</v>
      </c>
      <c r="F60" s="24">
        <v>0.0</v>
      </c>
      <c r="G60" s="25">
        <v>1.0</v>
      </c>
      <c r="H60" s="23">
        <v>1.0</v>
      </c>
      <c r="I60" s="24">
        <v>1.0</v>
      </c>
      <c r="J60" s="25">
        <v>1.0</v>
      </c>
      <c r="K60" s="23">
        <v>1.0</v>
      </c>
      <c r="L60" s="24">
        <v>1.0</v>
      </c>
      <c r="M60" s="25">
        <v>1.0</v>
      </c>
      <c r="N60" s="23">
        <v>1.0</v>
      </c>
      <c r="O60" s="24">
        <v>1.0</v>
      </c>
      <c r="P60" s="25">
        <v>1.0</v>
      </c>
      <c r="Q60" s="23">
        <v>1.0</v>
      </c>
      <c r="R60" s="24">
        <v>1.0</v>
      </c>
      <c r="S60" s="25">
        <v>1.0</v>
      </c>
      <c r="T60" s="33" t="s">
        <v>21</v>
      </c>
      <c r="U60" s="27">
        <v>1000.0</v>
      </c>
      <c r="V60" s="28">
        <f t="shared" si="6"/>
        <v>5500</v>
      </c>
    </row>
    <row r="61">
      <c r="A61" s="30"/>
      <c r="B61" s="30"/>
      <c r="C61" s="31" t="s">
        <v>77</v>
      </c>
      <c r="D61" s="32">
        <v>28.0</v>
      </c>
      <c r="E61" s="23">
        <v>0.0</v>
      </c>
      <c r="F61" s="24">
        <v>0.0</v>
      </c>
      <c r="G61" s="25">
        <v>1.0</v>
      </c>
      <c r="H61" s="23">
        <v>1.0</v>
      </c>
      <c r="I61" s="24">
        <v>1.0</v>
      </c>
      <c r="J61" s="25">
        <v>1.0</v>
      </c>
      <c r="K61" s="23">
        <v>1.0</v>
      </c>
      <c r="L61" s="24">
        <v>1.0</v>
      </c>
      <c r="M61" s="25">
        <v>1.0</v>
      </c>
      <c r="N61" s="23">
        <v>1.0</v>
      </c>
      <c r="O61" s="24">
        <v>1.0</v>
      </c>
      <c r="P61" s="25">
        <v>1.0</v>
      </c>
      <c r="Q61" s="23">
        <v>1.0</v>
      </c>
      <c r="R61" s="24">
        <v>1.0</v>
      </c>
      <c r="S61" s="25">
        <v>1.0</v>
      </c>
      <c r="T61" s="33" t="s">
        <v>21</v>
      </c>
      <c r="U61" s="27">
        <v>1000.0</v>
      </c>
      <c r="V61" s="28">
        <f t="shared" si="6"/>
        <v>5500</v>
      </c>
    </row>
    <row r="62">
      <c r="A62" s="30"/>
      <c r="B62" s="30"/>
      <c r="C62" s="31" t="s">
        <v>78</v>
      </c>
      <c r="D62" s="32">
        <v>29.0</v>
      </c>
      <c r="E62" s="23">
        <v>0.0</v>
      </c>
      <c r="F62" s="24">
        <v>0.0</v>
      </c>
      <c r="G62" s="25">
        <v>1.0</v>
      </c>
      <c r="H62" s="23">
        <v>1.0</v>
      </c>
      <c r="I62" s="24">
        <v>1.0</v>
      </c>
      <c r="J62" s="25">
        <v>1.0</v>
      </c>
      <c r="K62" s="23">
        <v>1.0</v>
      </c>
      <c r="L62" s="24">
        <v>1.0</v>
      </c>
      <c r="M62" s="25">
        <v>1.0</v>
      </c>
      <c r="N62" s="23">
        <v>1.0</v>
      </c>
      <c r="O62" s="24">
        <v>1.0</v>
      </c>
      <c r="P62" s="25">
        <v>1.0</v>
      </c>
      <c r="Q62" s="23">
        <v>1.0</v>
      </c>
      <c r="R62" s="24">
        <v>1.0</v>
      </c>
      <c r="S62" s="25">
        <v>1.0</v>
      </c>
      <c r="T62" s="33" t="s">
        <v>21</v>
      </c>
      <c r="U62" s="27">
        <v>1000.0</v>
      </c>
      <c r="V62" s="28">
        <f t="shared" si="6"/>
        <v>5500</v>
      </c>
    </row>
    <row r="63">
      <c r="A63" s="30"/>
      <c r="B63" s="30"/>
      <c r="C63" s="31" t="s">
        <v>79</v>
      </c>
      <c r="D63" s="32">
        <v>26.0</v>
      </c>
      <c r="E63" s="23">
        <v>0.0</v>
      </c>
      <c r="F63" s="24">
        <v>0.0</v>
      </c>
      <c r="G63" s="25">
        <v>1.0</v>
      </c>
      <c r="H63" s="23">
        <v>1.0</v>
      </c>
      <c r="I63" s="24">
        <v>1.0</v>
      </c>
      <c r="J63" s="25">
        <v>1.0</v>
      </c>
      <c r="K63" s="23">
        <v>1.0</v>
      </c>
      <c r="L63" s="24">
        <v>1.0</v>
      </c>
      <c r="M63" s="25">
        <v>1.0</v>
      </c>
      <c r="N63" s="23">
        <v>1.0</v>
      </c>
      <c r="O63" s="24">
        <v>1.0</v>
      </c>
      <c r="P63" s="25">
        <v>1.0</v>
      </c>
      <c r="Q63" s="23">
        <v>1.0</v>
      </c>
      <c r="R63" s="24">
        <v>1.0</v>
      </c>
      <c r="S63" s="25">
        <v>1.0</v>
      </c>
      <c r="T63" s="33" t="s">
        <v>21</v>
      </c>
      <c r="U63" s="27">
        <v>1000.0</v>
      </c>
      <c r="V63" s="28">
        <f t="shared" si="6"/>
        <v>5500</v>
      </c>
    </row>
    <row r="64">
      <c r="A64" s="51"/>
      <c r="B64" s="51"/>
      <c r="C64" s="31" t="s">
        <v>80</v>
      </c>
      <c r="D64" s="32">
        <v>23.0</v>
      </c>
      <c r="E64" s="23">
        <v>0.0</v>
      </c>
      <c r="F64" s="24">
        <v>0.0</v>
      </c>
      <c r="G64" s="25">
        <v>1.0</v>
      </c>
      <c r="H64" s="23">
        <v>1.0</v>
      </c>
      <c r="I64" s="24">
        <v>1.0</v>
      </c>
      <c r="J64" s="25">
        <v>1.0</v>
      </c>
      <c r="K64" s="23">
        <v>1.0</v>
      </c>
      <c r="L64" s="24">
        <v>1.0</v>
      </c>
      <c r="M64" s="25">
        <v>1.0</v>
      </c>
      <c r="N64" s="23">
        <v>1.0</v>
      </c>
      <c r="O64" s="24">
        <v>1.0</v>
      </c>
      <c r="P64" s="25">
        <v>1.0</v>
      </c>
      <c r="Q64" s="23">
        <v>1.0</v>
      </c>
      <c r="R64" s="24">
        <v>1.0</v>
      </c>
      <c r="S64" s="25">
        <v>1.0</v>
      </c>
      <c r="T64" s="33" t="s">
        <v>21</v>
      </c>
      <c r="U64" s="56"/>
      <c r="V64" s="28">
        <f t="shared" si="6"/>
        <v>5500</v>
      </c>
    </row>
    <row r="65">
      <c r="A65" s="50" t="s">
        <v>81</v>
      </c>
      <c r="B65" s="50">
        <v>9.700600726E9</v>
      </c>
      <c r="C65" s="31" t="s">
        <v>81</v>
      </c>
      <c r="D65" s="32">
        <v>44.0</v>
      </c>
      <c r="E65" s="23">
        <v>0.0</v>
      </c>
      <c r="F65" s="24">
        <v>0.0</v>
      </c>
      <c r="G65" s="25">
        <v>0.0</v>
      </c>
      <c r="H65" s="23">
        <v>1.0</v>
      </c>
      <c r="I65" s="24">
        <v>1.0</v>
      </c>
      <c r="J65" s="25">
        <v>1.0</v>
      </c>
      <c r="K65" s="23">
        <v>1.0</v>
      </c>
      <c r="L65" s="24">
        <v>1.0</v>
      </c>
      <c r="M65" s="25">
        <v>1.0</v>
      </c>
      <c r="N65" s="23">
        <v>1.0</v>
      </c>
      <c r="O65" s="24">
        <v>1.0</v>
      </c>
      <c r="P65" s="25">
        <v>1.0</v>
      </c>
      <c r="Q65" s="23">
        <v>1.0</v>
      </c>
      <c r="R65" s="24">
        <v>1.0</v>
      </c>
      <c r="S65" s="25">
        <v>1.0</v>
      </c>
      <c r="T65" s="33" t="s">
        <v>21</v>
      </c>
      <c r="U65" s="27">
        <v>1000.0</v>
      </c>
      <c r="V65" s="28">
        <f t="shared" si="6"/>
        <v>5500</v>
      </c>
    </row>
    <row r="66">
      <c r="A66" s="30"/>
      <c r="B66" s="30"/>
      <c r="C66" s="31" t="s">
        <v>82</v>
      </c>
      <c r="D66" s="32">
        <v>48.0</v>
      </c>
      <c r="E66" s="23">
        <v>0.0</v>
      </c>
      <c r="F66" s="24">
        <v>0.0</v>
      </c>
      <c r="G66" s="25">
        <v>0.0</v>
      </c>
      <c r="H66" s="23">
        <v>1.0</v>
      </c>
      <c r="I66" s="24">
        <v>1.0</v>
      </c>
      <c r="J66" s="25">
        <v>1.0</v>
      </c>
      <c r="K66" s="23">
        <v>1.0</v>
      </c>
      <c r="L66" s="24">
        <v>1.0</v>
      </c>
      <c r="M66" s="25">
        <v>1.0</v>
      </c>
      <c r="N66" s="23">
        <v>1.0</v>
      </c>
      <c r="O66" s="24">
        <v>1.0</v>
      </c>
      <c r="P66" s="25">
        <v>1.0</v>
      </c>
      <c r="Q66" s="23">
        <v>1.0</v>
      </c>
      <c r="R66" s="24">
        <v>1.0</v>
      </c>
      <c r="S66" s="25">
        <v>1.0</v>
      </c>
      <c r="T66" s="33" t="s">
        <v>21</v>
      </c>
      <c r="U66" s="27">
        <v>1000.0</v>
      </c>
      <c r="V66" s="28">
        <f t="shared" si="6"/>
        <v>5500</v>
      </c>
    </row>
    <row r="67">
      <c r="A67" s="30"/>
      <c r="B67" s="30"/>
      <c r="C67" s="31" t="s">
        <v>83</v>
      </c>
      <c r="D67" s="32">
        <v>12.0</v>
      </c>
      <c r="E67" s="23">
        <v>0.0</v>
      </c>
      <c r="F67" s="24">
        <v>0.0</v>
      </c>
      <c r="G67" s="25">
        <v>0.0</v>
      </c>
      <c r="H67" s="23">
        <v>1.0</v>
      </c>
      <c r="I67" s="24">
        <v>1.0</v>
      </c>
      <c r="J67" s="25">
        <v>1.0</v>
      </c>
      <c r="K67" s="23">
        <v>1.0</v>
      </c>
      <c r="L67" s="24">
        <v>1.0</v>
      </c>
      <c r="M67" s="25">
        <v>1.0</v>
      </c>
      <c r="N67" s="23">
        <v>1.0</v>
      </c>
      <c r="O67" s="24">
        <v>1.0</v>
      </c>
      <c r="P67" s="25">
        <v>1.0</v>
      </c>
      <c r="Q67" s="23">
        <v>1.0</v>
      </c>
      <c r="R67" s="24">
        <v>1.0</v>
      </c>
      <c r="S67" s="25">
        <v>1.0</v>
      </c>
      <c r="T67" s="33" t="s">
        <v>21</v>
      </c>
      <c r="U67" s="27">
        <v>1000.0</v>
      </c>
      <c r="V67" s="28">
        <f t="shared" si="6"/>
        <v>5500</v>
      </c>
    </row>
    <row r="68">
      <c r="A68" s="51"/>
      <c r="B68" s="51"/>
      <c r="C68" s="31" t="s">
        <v>84</v>
      </c>
      <c r="D68" s="32">
        <v>10.0</v>
      </c>
      <c r="E68" s="23">
        <v>0.0</v>
      </c>
      <c r="F68" s="24">
        <v>0.0</v>
      </c>
      <c r="G68" s="25">
        <v>0.0</v>
      </c>
      <c r="H68" s="23">
        <v>1.0</v>
      </c>
      <c r="I68" s="24">
        <v>1.0</v>
      </c>
      <c r="J68" s="25">
        <v>1.0</v>
      </c>
      <c r="K68" s="23">
        <v>1.0</v>
      </c>
      <c r="L68" s="24">
        <v>1.0</v>
      </c>
      <c r="M68" s="25">
        <v>1.0</v>
      </c>
      <c r="N68" s="23">
        <v>1.0</v>
      </c>
      <c r="O68" s="24">
        <v>1.0</v>
      </c>
      <c r="P68" s="25">
        <v>1.0</v>
      </c>
      <c r="Q68" s="23">
        <v>1.0</v>
      </c>
      <c r="R68" s="24">
        <v>1.0</v>
      </c>
      <c r="S68" s="25">
        <v>1.0</v>
      </c>
      <c r="T68" s="33" t="s">
        <v>21</v>
      </c>
      <c r="U68" s="27">
        <v>500.0</v>
      </c>
      <c r="V68" s="39">
        <v>3000.0</v>
      </c>
    </row>
    <row r="69">
      <c r="A69" s="52" t="s">
        <v>85</v>
      </c>
      <c r="B69" s="52">
        <v>8.897054161E9</v>
      </c>
      <c r="C69" s="31" t="s">
        <v>85</v>
      </c>
      <c r="D69" s="32">
        <v>26.0</v>
      </c>
      <c r="E69" s="23">
        <v>0.0</v>
      </c>
      <c r="F69" s="24">
        <v>0.0</v>
      </c>
      <c r="G69" s="25">
        <v>0.0</v>
      </c>
      <c r="H69" s="23">
        <v>1.0</v>
      </c>
      <c r="I69" s="24">
        <v>1.0</v>
      </c>
      <c r="J69" s="25">
        <v>1.0</v>
      </c>
      <c r="K69" s="23">
        <v>1.0</v>
      </c>
      <c r="L69" s="24">
        <v>1.0</v>
      </c>
      <c r="M69" s="25">
        <v>1.0</v>
      </c>
      <c r="N69" s="23">
        <v>1.0</v>
      </c>
      <c r="O69" s="24">
        <v>1.0</v>
      </c>
      <c r="P69" s="25">
        <v>1.0</v>
      </c>
      <c r="Q69" s="23">
        <v>1.0</v>
      </c>
      <c r="R69" s="24">
        <v>1.0</v>
      </c>
      <c r="S69" s="25">
        <v>1.0</v>
      </c>
      <c r="T69" s="33" t="s">
        <v>21</v>
      </c>
      <c r="U69" s="27">
        <v>1000.0</v>
      </c>
      <c r="V69" s="28">
        <f t="shared" ref="V69:V99" si="7">IF(T69="AC",6500,5500)</f>
        <v>5500</v>
      </c>
    </row>
    <row r="70">
      <c r="A70" s="52" t="s">
        <v>86</v>
      </c>
      <c r="B70" s="52">
        <v>9.198631553E9</v>
      </c>
      <c r="C70" s="31" t="s">
        <v>86</v>
      </c>
      <c r="D70" s="32">
        <v>28.0</v>
      </c>
      <c r="E70" s="23">
        <v>0.0</v>
      </c>
      <c r="F70" s="24">
        <v>0.0</v>
      </c>
      <c r="G70" s="25">
        <v>0.0</v>
      </c>
      <c r="H70" s="23">
        <v>1.0</v>
      </c>
      <c r="I70" s="24">
        <v>1.0</v>
      </c>
      <c r="J70" s="25">
        <v>1.0</v>
      </c>
      <c r="K70" s="23">
        <v>1.0</v>
      </c>
      <c r="L70" s="24">
        <v>1.0</v>
      </c>
      <c r="M70" s="25">
        <v>1.0</v>
      </c>
      <c r="N70" s="23">
        <v>1.0</v>
      </c>
      <c r="O70" s="24">
        <v>1.0</v>
      </c>
      <c r="P70" s="25">
        <v>1.0</v>
      </c>
      <c r="Q70" s="23">
        <v>1.0</v>
      </c>
      <c r="R70" s="24">
        <v>1.0</v>
      </c>
      <c r="S70" s="25">
        <v>1.0</v>
      </c>
      <c r="T70" s="33" t="s">
        <v>21</v>
      </c>
      <c r="U70" s="27">
        <v>1000.0</v>
      </c>
      <c r="V70" s="28">
        <f t="shared" si="7"/>
        <v>5500</v>
      </c>
    </row>
    <row r="71">
      <c r="A71" s="50" t="s">
        <v>87</v>
      </c>
      <c r="B71" s="50">
        <v>7.675098809E9</v>
      </c>
      <c r="C71" s="31" t="s">
        <v>87</v>
      </c>
      <c r="D71" s="32">
        <v>27.0</v>
      </c>
      <c r="E71" s="23">
        <v>1.0</v>
      </c>
      <c r="F71" s="24">
        <v>1.0</v>
      </c>
      <c r="G71" s="25">
        <v>1.0</v>
      </c>
      <c r="H71" s="23">
        <v>1.0</v>
      </c>
      <c r="I71" s="24">
        <v>1.0</v>
      </c>
      <c r="J71" s="25">
        <v>1.0</v>
      </c>
      <c r="K71" s="23">
        <v>1.0</v>
      </c>
      <c r="L71" s="24">
        <v>1.0</v>
      </c>
      <c r="M71" s="25">
        <v>1.0</v>
      </c>
      <c r="N71" s="23">
        <v>1.0</v>
      </c>
      <c r="O71" s="24">
        <v>1.0</v>
      </c>
      <c r="P71" s="25">
        <v>1.0</v>
      </c>
      <c r="Q71" s="23">
        <v>1.0</v>
      </c>
      <c r="R71" s="24">
        <v>1.0</v>
      </c>
      <c r="S71" s="25">
        <v>1.0</v>
      </c>
      <c r="T71" s="33" t="s">
        <v>17</v>
      </c>
      <c r="U71" s="27">
        <v>1000.0</v>
      </c>
      <c r="V71" s="28">
        <f t="shared" si="7"/>
        <v>6500</v>
      </c>
    </row>
    <row r="72">
      <c r="A72" s="51"/>
      <c r="B72" s="51"/>
      <c r="C72" s="31" t="s">
        <v>88</v>
      </c>
      <c r="D72" s="32">
        <v>30.0</v>
      </c>
      <c r="E72" s="23">
        <v>1.0</v>
      </c>
      <c r="F72" s="24">
        <v>1.0</v>
      </c>
      <c r="G72" s="25">
        <v>1.0</v>
      </c>
      <c r="H72" s="23">
        <v>1.0</v>
      </c>
      <c r="I72" s="24">
        <v>1.0</v>
      </c>
      <c r="J72" s="25">
        <v>1.0</v>
      </c>
      <c r="K72" s="23">
        <v>1.0</v>
      </c>
      <c r="L72" s="24">
        <v>1.0</v>
      </c>
      <c r="M72" s="25">
        <v>1.0</v>
      </c>
      <c r="N72" s="23">
        <v>1.0</v>
      </c>
      <c r="O72" s="24">
        <v>1.0</v>
      </c>
      <c r="P72" s="25">
        <v>1.0</v>
      </c>
      <c r="Q72" s="23">
        <v>1.0</v>
      </c>
      <c r="R72" s="24">
        <v>1.0</v>
      </c>
      <c r="S72" s="25">
        <v>1.0</v>
      </c>
      <c r="T72" s="33" t="s">
        <v>17</v>
      </c>
      <c r="U72" s="27">
        <v>1000.0</v>
      </c>
      <c r="V72" s="28">
        <f t="shared" si="7"/>
        <v>6500</v>
      </c>
    </row>
    <row r="73">
      <c r="A73" s="57" t="s">
        <v>89</v>
      </c>
      <c r="B73" s="57">
        <v>9.923369579E9</v>
      </c>
      <c r="C73" s="31" t="s">
        <v>89</v>
      </c>
      <c r="D73" s="32">
        <v>29.0</v>
      </c>
      <c r="E73" s="23">
        <v>0.0</v>
      </c>
      <c r="F73" s="24">
        <v>0.0</v>
      </c>
      <c r="G73" s="25">
        <v>0.0</v>
      </c>
      <c r="H73" s="23">
        <v>1.0</v>
      </c>
      <c r="I73" s="24">
        <v>1.0</v>
      </c>
      <c r="J73" s="25">
        <v>1.0</v>
      </c>
      <c r="K73" s="23">
        <v>1.0</v>
      </c>
      <c r="L73" s="24">
        <v>1.0</v>
      </c>
      <c r="M73" s="25">
        <v>1.0</v>
      </c>
      <c r="N73" s="23">
        <v>1.0</v>
      </c>
      <c r="O73" s="24">
        <v>1.0</v>
      </c>
      <c r="P73" s="25">
        <v>1.0</v>
      </c>
      <c r="Q73" s="23">
        <v>1.0</v>
      </c>
      <c r="R73" s="24">
        <v>1.0</v>
      </c>
      <c r="S73" s="25">
        <v>1.0</v>
      </c>
      <c r="T73" s="33" t="s">
        <v>17</v>
      </c>
      <c r="U73" s="27">
        <v>1000.0</v>
      </c>
      <c r="V73" s="28">
        <f t="shared" si="7"/>
        <v>6500</v>
      </c>
    </row>
    <row r="74">
      <c r="A74" s="50" t="s">
        <v>90</v>
      </c>
      <c r="B74" s="50">
        <v>9.566121217E9</v>
      </c>
      <c r="C74" s="31" t="s">
        <v>90</v>
      </c>
      <c r="D74" s="32">
        <v>30.0</v>
      </c>
      <c r="E74" s="23">
        <v>0.0</v>
      </c>
      <c r="F74" s="24">
        <v>0.0</v>
      </c>
      <c r="G74" s="25">
        <v>0.0</v>
      </c>
      <c r="H74" s="23">
        <v>1.0</v>
      </c>
      <c r="I74" s="24">
        <v>1.0</v>
      </c>
      <c r="J74" s="25">
        <v>1.0</v>
      </c>
      <c r="K74" s="23">
        <v>1.0</v>
      </c>
      <c r="L74" s="24">
        <v>1.0</v>
      </c>
      <c r="M74" s="25">
        <v>1.0</v>
      </c>
      <c r="N74" s="23">
        <v>1.0</v>
      </c>
      <c r="O74" s="24">
        <v>1.0</v>
      </c>
      <c r="P74" s="25">
        <v>1.0</v>
      </c>
      <c r="Q74" s="23">
        <v>1.0</v>
      </c>
      <c r="R74" s="24">
        <v>1.0</v>
      </c>
      <c r="S74" s="25">
        <v>1.0</v>
      </c>
      <c r="T74" s="33" t="s">
        <v>17</v>
      </c>
      <c r="U74" s="27">
        <v>1000.0</v>
      </c>
      <c r="V74" s="28">
        <f t="shared" si="7"/>
        <v>6500</v>
      </c>
    </row>
    <row r="75">
      <c r="A75" s="30"/>
      <c r="B75" s="30"/>
      <c r="C75" s="31" t="s">
        <v>91</v>
      </c>
      <c r="D75" s="32">
        <v>30.0</v>
      </c>
      <c r="E75" s="23">
        <v>0.0</v>
      </c>
      <c r="F75" s="24">
        <v>0.0</v>
      </c>
      <c r="G75" s="25">
        <v>0.0</v>
      </c>
      <c r="H75" s="23">
        <v>1.0</v>
      </c>
      <c r="I75" s="24">
        <v>1.0</v>
      </c>
      <c r="J75" s="25">
        <v>1.0</v>
      </c>
      <c r="K75" s="23">
        <v>1.0</v>
      </c>
      <c r="L75" s="24">
        <v>1.0</v>
      </c>
      <c r="M75" s="25">
        <v>1.0</v>
      </c>
      <c r="N75" s="23">
        <v>1.0</v>
      </c>
      <c r="O75" s="24">
        <v>1.0</v>
      </c>
      <c r="P75" s="25">
        <v>1.0</v>
      </c>
      <c r="Q75" s="23">
        <v>1.0</v>
      </c>
      <c r="R75" s="24">
        <v>1.0</v>
      </c>
      <c r="S75" s="25">
        <v>1.0</v>
      </c>
      <c r="T75" s="33" t="s">
        <v>17</v>
      </c>
      <c r="U75" s="27">
        <v>1000.0</v>
      </c>
      <c r="V75" s="28">
        <f t="shared" si="7"/>
        <v>6500</v>
      </c>
    </row>
    <row r="76">
      <c r="A76" s="30"/>
      <c r="B76" s="30"/>
      <c r="C76" s="31" t="s">
        <v>92</v>
      </c>
      <c r="D76" s="32">
        <v>51.0</v>
      </c>
      <c r="E76" s="23">
        <v>0.0</v>
      </c>
      <c r="F76" s="24">
        <v>0.0</v>
      </c>
      <c r="G76" s="25">
        <v>0.0</v>
      </c>
      <c r="H76" s="23">
        <v>1.0</v>
      </c>
      <c r="I76" s="24">
        <v>1.0</v>
      </c>
      <c r="J76" s="25">
        <v>1.0</v>
      </c>
      <c r="K76" s="23">
        <v>1.0</v>
      </c>
      <c r="L76" s="24">
        <v>1.0</v>
      </c>
      <c r="M76" s="25">
        <v>1.0</v>
      </c>
      <c r="N76" s="23">
        <v>1.0</v>
      </c>
      <c r="O76" s="24">
        <v>1.0</v>
      </c>
      <c r="P76" s="25">
        <v>1.0</v>
      </c>
      <c r="Q76" s="23">
        <v>1.0</v>
      </c>
      <c r="R76" s="24">
        <v>1.0</v>
      </c>
      <c r="S76" s="25">
        <v>1.0</v>
      </c>
      <c r="T76" s="33" t="s">
        <v>17</v>
      </c>
      <c r="U76" s="56"/>
      <c r="V76" s="28">
        <f t="shared" si="7"/>
        <v>6500</v>
      </c>
    </row>
    <row r="77">
      <c r="A77" s="51"/>
      <c r="B77" s="51"/>
      <c r="C77" s="31" t="s">
        <v>93</v>
      </c>
      <c r="D77" s="32">
        <v>46.0</v>
      </c>
      <c r="E77" s="23">
        <v>0.0</v>
      </c>
      <c r="F77" s="24">
        <v>0.0</v>
      </c>
      <c r="G77" s="25">
        <v>0.0</v>
      </c>
      <c r="H77" s="23">
        <v>1.0</v>
      </c>
      <c r="I77" s="24">
        <v>1.0</v>
      </c>
      <c r="J77" s="25">
        <v>1.0</v>
      </c>
      <c r="K77" s="23">
        <v>1.0</v>
      </c>
      <c r="L77" s="24">
        <v>1.0</v>
      </c>
      <c r="M77" s="25">
        <v>1.0</v>
      </c>
      <c r="N77" s="23">
        <v>1.0</v>
      </c>
      <c r="O77" s="24">
        <v>1.0</v>
      </c>
      <c r="P77" s="25">
        <v>1.0</v>
      </c>
      <c r="Q77" s="23">
        <v>1.0</v>
      </c>
      <c r="R77" s="24">
        <v>1.0</v>
      </c>
      <c r="S77" s="25">
        <v>1.0</v>
      </c>
      <c r="T77" s="33" t="s">
        <v>17</v>
      </c>
      <c r="U77" s="56"/>
      <c r="V77" s="28">
        <f t="shared" si="7"/>
        <v>6500</v>
      </c>
    </row>
    <row r="78">
      <c r="A78" s="50" t="s">
        <v>39</v>
      </c>
      <c r="B78" s="50">
        <v>9.67716357E9</v>
      </c>
      <c r="C78" s="31" t="s">
        <v>94</v>
      </c>
      <c r="D78" s="32">
        <v>64.0</v>
      </c>
      <c r="E78" s="23">
        <v>0.0</v>
      </c>
      <c r="F78" s="24">
        <v>0.0</v>
      </c>
      <c r="G78" s="25">
        <v>0.0</v>
      </c>
      <c r="H78" s="23">
        <v>1.0</v>
      </c>
      <c r="I78" s="24">
        <v>1.0</v>
      </c>
      <c r="J78" s="25">
        <v>1.0</v>
      </c>
      <c r="K78" s="23">
        <v>1.0</v>
      </c>
      <c r="L78" s="24">
        <v>1.0</v>
      </c>
      <c r="M78" s="25">
        <v>1.0</v>
      </c>
      <c r="N78" s="23">
        <v>1.0</v>
      </c>
      <c r="O78" s="24">
        <v>1.0</v>
      </c>
      <c r="P78" s="25">
        <v>1.0</v>
      </c>
      <c r="Q78" s="23">
        <v>1.0</v>
      </c>
      <c r="R78" s="24">
        <v>1.0</v>
      </c>
      <c r="S78" s="25">
        <v>1.0</v>
      </c>
      <c r="T78" s="33" t="s">
        <v>17</v>
      </c>
      <c r="U78" s="27">
        <v>1000.0</v>
      </c>
      <c r="V78" s="28">
        <f t="shared" si="7"/>
        <v>6500</v>
      </c>
    </row>
    <row r="79">
      <c r="A79" s="51"/>
      <c r="B79" s="51"/>
      <c r="C79" s="31" t="s">
        <v>95</v>
      </c>
      <c r="D79" s="32">
        <v>60.0</v>
      </c>
      <c r="E79" s="23">
        <v>0.0</v>
      </c>
      <c r="F79" s="24">
        <v>0.0</v>
      </c>
      <c r="G79" s="25">
        <v>0.0</v>
      </c>
      <c r="H79" s="23">
        <v>1.0</v>
      </c>
      <c r="I79" s="24">
        <v>1.0</v>
      </c>
      <c r="J79" s="25">
        <v>1.0</v>
      </c>
      <c r="K79" s="23">
        <v>1.0</v>
      </c>
      <c r="L79" s="24">
        <v>1.0</v>
      </c>
      <c r="M79" s="25">
        <v>1.0</v>
      </c>
      <c r="N79" s="23">
        <v>1.0</v>
      </c>
      <c r="O79" s="24">
        <v>1.0</v>
      </c>
      <c r="P79" s="25">
        <v>1.0</v>
      </c>
      <c r="Q79" s="23">
        <v>1.0</v>
      </c>
      <c r="R79" s="24">
        <v>1.0</v>
      </c>
      <c r="S79" s="25">
        <v>1.0</v>
      </c>
      <c r="T79" s="33" t="s">
        <v>17</v>
      </c>
      <c r="U79" s="27">
        <v>1000.0</v>
      </c>
      <c r="V79" s="28">
        <f t="shared" si="7"/>
        <v>6500</v>
      </c>
    </row>
    <row r="80">
      <c r="A80" s="50" t="s">
        <v>96</v>
      </c>
      <c r="B80" s="50">
        <v>7.386139033E9</v>
      </c>
      <c r="C80" s="31" t="s">
        <v>96</v>
      </c>
      <c r="D80" s="32">
        <v>32.0</v>
      </c>
      <c r="E80" s="23">
        <v>0.0</v>
      </c>
      <c r="F80" s="24">
        <v>0.0</v>
      </c>
      <c r="G80" s="25">
        <v>0.0</v>
      </c>
      <c r="H80" s="23">
        <v>1.0</v>
      </c>
      <c r="I80" s="24">
        <v>1.0</v>
      </c>
      <c r="J80" s="25">
        <v>1.0</v>
      </c>
      <c r="K80" s="23">
        <v>1.0</v>
      </c>
      <c r="L80" s="24">
        <v>1.0</v>
      </c>
      <c r="M80" s="25">
        <v>1.0</v>
      </c>
      <c r="N80" s="23">
        <v>1.0</v>
      </c>
      <c r="O80" s="24">
        <v>1.0</v>
      </c>
      <c r="P80" s="25">
        <v>1.0</v>
      </c>
      <c r="Q80" s="23">
        <v>1.0</v>
      </c>
      <c r="R80" s="24">
        <v>1.0</v>
      </c>
      <c r="S80" s="25">
        <v>1.0</v>
      </c>
      <c r="T80" s="33" t="s">
        <v>17</v>
      </c>
      <c r="U80" s="27">
        <v>1000.0</v>
      </c>
      <c r="V80" s="28">
        <f t="shared" si="7"/>
        <v>6500</v>
      </c>
    </row>
    <row r="81">
      <c r="A81" s="51"/>
      <c r="B81" s="51"/>
      <c r="C81" s="31" t="s">
        <v>97</v>
      </c>
      <c r="D81" s="32">
        <v>32.0</v>
      </c>
      <c r="E81" s="23">
        <v>0.0</v>
      </c>
      <c r="F81" s="24">
        <v>0.0</v>
      </c>
      <c r="G81" s="25">
        <v>0.0</v>
      </c>
      <c r="H81" s="23">
        <v>1.0</v>
      </c>
      <c r="I81" s="24">
        <v>1.0</v>
      </c>
      <c r="J81" s="25">
        <v>1.0</v>
      </c>
      <c r="K81" s="23">
        <v>1.0</v>
      </c>
      <c r="L81" s="24">
        <v>1.0</v>
      </c>
      <c r="M81" s="25">
        <v>1.0</v>
      </c>
      <c r="N81" s="23">
        <v>1.0</v>
      </c>
      <c r="O81" s="24">
        <v>1.0</v>
      </c>
      <c r="P81" s="25">
        <v>1.0</v>
      </c>
      <c r="Q81" s="23">
        <v>1.0</v>
      </c>
      <c r="R81" s="24">
        <v>1.0</v>
      </c>
      <c r="S81" s="25">
        <v>1.0</v>
      </c>
      <c r="T81" s="33" t="s">
        <v>17</v>
      </c>
      <c r="U81" s="58">
        <v>0.0</v>
      </c>
      <c r="V81" s="28">
        <f t="shared" si="7"/>
        <v>6500</v>
      </c>
    </row>
    <row r="82">
      <c r="A82" s="50" t="s">
        <v>98</v>
      </c>
      <c r="B82" s="50">
        <v>9.67716357E9</v>
      </c>
      <c r="C82" s="31" t="s">
        <v>99</v>
      </c>
      <c r="D82" s="32">
        <v>48.0</v>
      </c>
      <c r="E82" s="23">
        <v>0.0</v>
      </c>
      <c r="F82" s="24">
        <v>0.0</v>
      </c>
      <c r="G82" s="25">
        <v>0.0</v>
      </c>
      <c r="H82" s="23">
        <v>1.0</v>
      </c>
      <c r="I82" s="24">
        <v>1.0</v>
      </c>
      <c r="J82" s="25">
        <v>1.0</v>
      </c>
      <c r="K82" s="23">
        <v>1.0</v>
      </c>
      <c r="L82" s="24">
        <v>1.0</v>
      </c>
      <c r="M82" s="25">
        <v>1.0</v>
      </c>
      <c r="N82" s="23">
        <v>1.0</v>
      </c>
      <c r="O82" s="24">
        <v>1.0</v>
      </c>
      <c r="P82" s="25">
        <v>1.0</v>
      </c>
      <c r="Q82" s="23">
        <v>1.0</v>
      </c>
      <c r="R82" s="24">
        <v>1.0</v>
      </c>
      <c r="S82" s="25">
        <v>1.0</v>
      </c>
      <c r="T82" s="33" t="s">
        <v>17</v>
      </c>
      <c r="U82" s="27">
        <v>1000.0</v>
      </c>
      <c r="V82" s="28">
        <f t="shared" si="7"/>
        <v>6500</v>
      </c>
    </row>
    <row r="83">
      <c r="A83" s="30"/>
      <c r="B83" s="30"/>
      <c r="C83" s="31" t="s">
        <v>100</v>
      </c>
      <c r="D83" s="32">
        <v>68.0</v>
      </c>
      <c r="E83" s="23">
        <v>0.0</v>
      </c>
      <c r="F83" s="24">
        <v>0.0</v>
      </c>
      <c r="G83" s="25">
        <v>0.0</v>
      </c>
      <c r="H83" s="23">
        <v>1.0</v>
      </c>
      <c r="I83" s="24">
        <v>1.0</v>
      </c>
      <c r="J83" s="25">
        <v>1.0</v>
      </c>
      <c r="K83" s="23">
        <v>1.0</v>
      </c>
      <c r="L83" s="24">
        <v>1.0</v>
      </c>
      <c r="M83" s="25">
        <v>1.0</v>
      </c>
      <c r="N83" s="23">
        <v>1.0</v>
      </c>
      <c r="O83" s="24">
        <v>1.0</v>
      </c>
      <c r="P83" s="25">
        <v>1.0</v>
      </c>
      <c r="Q83" s="23">
        <v>1.0</v>
      </c>
      <c r="R83" s="24">
        <v>1.0</v>
      </c>
      <c r="S83" s="25">
        <v>1.0</v>
      </c>
      <c r="T83" s="33" t="s">
        <v>17</v>
      </c>
      <c r="U83" s="27">
        <v>1000.0</v>
      </c>
      <c r="V83" s="28">
        <f t="shared" si="7"/>
        <v>6500</v>
      </c>
    </row>
    <row r="84">
      <c r="A84" s="30"/>
      <c r="B84" s="30"/>
      <c r="C84" s="31" t="s">
        <v>101</v>
      </c>
      <c r="D84" s="32">
        <v>44.0</v>
      </c>
      <c r="E84" s="23">
        <v>0.0</v>
      </c>
      <c r="F84" s="24">
        <v>0.0</v>
      </c>
      <c r="G84" s="25">
        <v>0.0</v>
      </c>
      <c r="H84" s="23">
        <v>1.0</v>
      </c>
      <c r="I84" s="24">
        <v>1.0</v>
      </c>
      <c r="J84" s="25">
        <v>1.0</v>
      </c>
      <c r="K84" s="23">
        <v>1.0</v>
      </c>
      <c r="L84" s="24">
        <v>1.0</v>
      </c>
      <c r="M84" s="25">
        <v>1.0</v>
      </c>
      <c r="N84" s="23">
        <v>1.0</v>
      </c>
      <c r="O84" s="24">
        <v>1.0</v>
      </c>
      <c r="P84" s="25">
        <v>1.0</v>
      </c>
      <c r="Q84" s="23">
        <v>1.0</v>
      </c>
      <c r="R84" s="24">
        <v>1.0</v>
      </c>
      <c r="S84" s="25">
        <v>1.0</v>
      </c>
      <c r="T84" s="33" t="s">
        <v>21</v>
      </c>
      <c r="U84" s="27">
        <v>1000.0</v>
      </c>
      <c r="V84" s="28">
        <f t="shared" si="7"/>
        <v>5500</v>
      </c>
    </row>
    <row r="85">
      <c r="A85" s="30"/>
      <c r="B85" s="30"/>
      <c r="C85" s="31" t="s">
        <v>102</v>
      </c>
      <c r="D85" s="32">
        <v>24.0</v>
      </c>
      <c r="E85" s="23">
        <v>0.0</v>
      </c>
      <c r="F85" s="24">
        <v>0.0</v>
      </c>
      <c r="G85" s="25">
        <v>0.0</v>
      </c>
      <c r="H85" s="23">
        <v>1.0</v>
      </c>
      <c r="I85" s="24">
        <v>1.0</v>
      </c>
      <c r="J85" s="25">
        <v>1.0</v>
      </c>
      <c r="K85" s="23">
        <v>1.0</v>
      </c>
      <c r="L85" s="24">
        <v>1.0</v>
      </c>
      <c r="M85" s="25">
        <v>1.0</v>
      </c>
      <c r="N85" s="23">
        <v>1.0</v>
      </c>
      <c r="O85" s="24">
        <v>1.0</v>
      </c>
      <c r="P85" s="25">
        <v>1.0</v>
      </c>
      <c r="Q85" s="23">
        <v>1.0</v>
      </c>
      <c r="R85" s="24">
        <v>1.0</v>
      </c>
      <c r="S85" s="25">
        <v>1.0</v>
      </c>
      <c r="T85" s="33" t="s">
        <v>21</v>
      </c>
      <c r="U85" s="27">
        <v>1000.0</v>
      </c>
      <c r="V85" s="28">
        <f t="shared" si="7"/>
        <v>5500</v>
      </c>
    </row>
    <row r="86">
      <c r="A86" s="30"/>
      <c r="B86" s="30"/>
      <c r="C86" s="31" t="s">
        <v>103</v>
      </c>
      <c r="D86" s="32">
        <v>50.0</v>
      </c>
      <c r="E86" s="23">
        <v>0.0</v>
      </c>
      <c r="F86" s="24">
        <v>0.0</v>
      </c>
      <c r="G86" s="25">
        <v>0.0</v>
      </c>
      <c r="H86" s="23">
        <v>1.0</v>
      </c>
      <c r="I86" s="24">
        <v>1.0</v>
      </c>
      <c r="J86" s="25">
        <v>1.0</v>
      </c>
      <c r="K86" s="23">
        <v>1.0</v>
      </c>
      <c r="L86" s="24">
        <v>1.0</v>
      </c>
      <c r="M86" s="25">
        <v>1.0</v>
      </c>
      <c r="N86" s="23">
        <v>1.0</v>
      </c>
      <c r="O86" s="24">
        <v>1.0</v>
      </c>
      <c r="P86" s="25">
        <v>1.0</v>
      </c>
      <c r="Q86" s="23">
        <v>1.0</v>
      </c>
      <c r="R86" s="24">
        <v>1.0</v>
      </c>
      <c r="S86" s="25">
        <v>1.0</v>
      </c>
      <c r="T86" s="33" t="s">
        <v>21</v>
      </c>
      <c r="U86" s="27">
        <v>1000.0</v>
      </c>
      <c r="V86" s="28">
        <f t="shared" si="7"/>
        <v>5500</v>
      </c>
    </row>
    <row r="87">
      <c r="A87" s="30"/>
      <c r="B87" s="30"/>
      <c r="C87" s="31" t="s">
        <v>104</v>
      </c>
      <c r="D87" s="32">
        <v>40.0</v>
      </c>
      <c r="E87" s="23">
        <v>0.0</v>
      </c>
      <c r="F87" s="24">
        <v>0.0</v>
      </c>
      <c r="G87" s="25">
        <v>0.0</v>
      </c>
      <c r="H87" s="23">
        <v>1.0</v>
      </c>
      <c r="I87" s="24">
        <v>1.0</v>
      </c>
      <c r="J87" s="25">
        <v>1.0</v>
      </c>
      <c r="K87" s="23">
        <v>1.0</v>
      </c>
      <c r="L87" s="24">
        <v>1.0</v>
      </c>
      <c r="M87" s="25">
        <v>1.0</v>
      </c>
      <c r="N87" s="23">
        <v>1.0</v>
      </c>
      <c r="O87" s="24">
        <v>1.0</v>
      </c>
      <c r="P87" s="25">
        <v>1.0</v>
      </c>
      <c r="Q87" s="23">
        <v>1.0</v>
      </c>
      <c r="R87" s="24">
        <v>1.0</v>
      </c>
      <c r="S87" s="25">
        <v>1.0</v>
      </c>
      <c r="T87" s="33" t="s">
        <v>21</v>
      </c>
      <c r="U87" s="27">
        <v>1000.0</v>
      </c>
      <c r="V87" s="28">
        <f t="shared" si="7"/>
        <v>5500</v>
      </c>
    </row>
    <row r="88">
      <c r="A88" s="30"/>
      <c r="B88" s="30"/>
      <c r="C88" s="31" t="s">
        <v>105</v>
      </c>
      <c r="D88" s="32">
        <v>43.0</v>
      </c>
      <c r="E88" s="23">
        <v>0.0</v>
      </c>
      <c r="F88" s="24">
        <v>0.0</v>
      </c>
      <c r="G88" s="25">
        <v>0.0</v>
      </c>
      <c r="H88" s="23">
        <v>1.0</v>
      </c>
      <c r="I88" s="24">
        <v>1.0</v>
      </c>
      <c r="J88" s="25">
        <v>1.0</v>
      </c>
      <c r="K88" s="23">
        <v>1.0</v>
      </c>
      <c r="L88" s="24">
        <v>1.0</v>
      </c>
      <c r="M88" s="25">
        <v>1.0</v>
      </c>
      <c r="N88" s="23">
        <v>1.0</v>
      </c>
      <c r="O88" s="24">
        <v>1.0</v>
      </c>
      <c r="P88" s="25">
        <v>1.0</v>
      </c>
      <c r="Q88" s="23">
        <v>1.0</v>
      </c>
      <c r="R88" s="24">
        <v>1.0</v>
      </c>
      <c r="S88" s="25">
        <v>1.0</v>
      </c>
      <c r="T88" s="33" t="s">
        <v>21</v>
      </c>
      <c r="U88" s="27">
        <v>1000.0</v>
      </c>
      <c r="V88" s="28">
        <f t="shared" si="7"/>
        <v>5500</v>
      </c>
    </row>
    <row r="89">
      <c r="A89" s="51"/>
      <c r="B89" s="51"/>
      <c r="C89" s="31" t="s">
        <v>106</v>
      </c>
      <c r="D89" s="32">
        <v>55.0</v>
      </c>
      <c r="E89" s="23">
        <v>0.0</v>
      </c>
      <c r="F89" s="24">
        <v>0.0</v>
      </c>
      <c r="G89" s="25">
        <v>0.0</v>
      </c>
      <c r="H89" s="23">
        <v>1.0</v>
      </c>
      <c r="I89" s="24">
        <v>1.0</v>
      </c>
      <c r="J89" s="25">
        <v>1.0</v>
      </c>
      <c r="K89" s="23">
        <v>1.0</v>
      </c>
      <c r="L89" s="24">
        <v>1.0</v>
      </c>
      <c r="M89" s="25">
        <v>1.0</v>
      </c>
      <c r="N89" s="23">
        <v>1.0</v>
      </c>
      <c r="O89" s="24">
        <v>1.0</v>
      </c>
      <c r="P89" s="25">
        <v>1.0</v>
      </c>
      <c r="Q89" s="23">
        <v>1.0</v>
      </c>
      <c r="R89" s="24">
        <v>1.0</v>
      </c>
      <c r="S89" s="25">
        <v>1.0</v>
      </c>
      <c r="T89" s="33" t="s">
        <v>17</v>
      </c>
      <c r="U89" s="27">
        <v>1000.0</v>
      </c>
      <c r="V89" s="28">
        <f t="shared" si="7"/>
        <v>6500</v>
      </c>
    </row>
    <row r="90">
      <c r="A90" s="50" t="s">
        <v>107</v>
      </c>
      <c r="B90" s="50">
        <v>8.977333687E9</v>
      </c>
      <c r="C90" s="31" t="s">
        <v>107</v>
      </c>
      <c r="D90" s="32">
        <v>32.0</v>
      </c>
      <c r="E90" s="23">
        <v>0.0</v>
      </c>
      <c r="F90" s="24">
        <v>0.0</v>
      </c>
      <c r="G90" s="25">
        <v>0.0</v>
      </c>
      <c r="H90" s="23">
        <v>1.0</v>
      </c>
      <c r="I90" s="24">
        <v>1.0</v>
      </c>
      <c r="J90" s="25">
        <v>1.0</v>
      </c>
      <c r="K90" s="23">
        <v>1.0</v>
      </c>
      <c r="L90" s="24">
        <v>1.0</v>
      </c>
      <c r="M90" s="25">
        <v>1.0</v>
      </c>
      <c r="N90" s="23">
        <v>1.0</v>
      </c>
      <c r="O90" s="24">
        <v>1.0</v>
      </c>
      <c r="P90" s="25">
        <v>1.0</v>
      </c>
      <c r="Q90" s="23">
        <v>1.0</v>
      </c>
      <c r="R90" s="24">
        <v>1.0</v>
      </c>
      <c r="S90" s="25">
        <v>1.0</v>
      </c>
      <c r="T90" s="33" t="s">
        <v>21</v>
      </c>
      <c r="U90" s="27">
        <v>1000.0</v>
      </c>
      <c r="V90" s="28">
        <f t="shared" si="7"/>
        <v>5500</v>
      </c>
    </row>
    <row r="91">
      <c r="A91" s="30"/>
      <c r="B91" s="30"/>
      <c r="C91" s="31" t="s">
        <v>108</v>
      </c>
      <c r="D91" s="32">
        <v>27.0</v>
      </c>
      <c r="E91" s="23">
        <v>0.0</v>
      </c>
      <c r="F91" s="24">
        <v>0.0</v>
      </c>
      <c r="G91" s="25">
        <v>0.0</v>
      </c>
      <c r="H91" s="23">
        <v>1.0</v>
      </c>
      <c r="I91" s="24">
        <v>1.0</v>
      </c>
      <c r="J91" s="25">
        <v>1.0</v>
      </c>
      <c r="K91" s="23">
        <v>1.0</v>
      </c>
      <c r="L91" s="24">
        <v>1.0</v>
      </c>
      <c r="M91" s="25">
        <v>1.0</v>
      </c>
      <c r="N91" s="23">
        <v>1.0</v>
      </c>
      <c r="O91" s="24">
        <v>1.0</v>
      </c>
      <c r="P91" s="25">
        <v>1.0</v>
      </c>
      <c r="Q91" s="23">
        <v>1.0</v>
      </c>
      <c r="R91" s="24">
        <v>1.0</v>
      </c>
      <c r="S91" s="25">
        <v>1.0</v>
      </c>
      <c r="T91" s="33" t="s">
        <v>21</v>
      </c>
      <c r="U91" s="27">
        <v>1000.0</v>
      </c>
      <c r="V91" s="28">
        <f t="shared" si="7"/>
        <v>5500</v>
      </c>
    </row>
    <row r="92">
      <c r="A92" s="30"/>
      <c r="B92" s="30"/>
      <c r="C92" s="31" t="s">
        <v>109</v>
      </c>
      <c r="D92" s="32">
        <v>50.0</v>
      </c>
      <c r="E92" s="23">
        <v>0.0</v>
      </c>
      <c r="F92" s="24">
        <v>0.0</v>
      </c>
      <c r="G92" s="25">
        <v>0.0</v>
      </c>
      <c r="H92" s="23">
        <v>1.0</v>
      </c>
      <c r="I92" s="24">
        <v>1.0</v>
      </c>
      <c r="J92" s="25">
        <v>1.0</v>
      </c>
      <c r="K92" s="23">
        <v>1.0</v>
      </c>
      <c r="L92" s="24">
        <v>1.0</v>
      </c>
      <c r="M92" s="25">
        <v>1.0</v>
      </c>
      <c r="N92" s="23">
        <v>1.0</v>
      </c>
      <c r="O92" s="24">
        <v>1.0</v>
      </c>
      <c r="P92" s="25">
        <v>1.0</v>
      </c>
      <c r="Q92" s="23">
        <v>1.0</v>
      </c>
      <c r="R92" s="24">
        <v>1.0</v>
      </c>
      <c r="S92" s="25">
        <v>1.0</v>
      </c>
      <c r="T92" s="33" t="s">
        <v>21</v>
      </c>
      <c r="U92" s="27">
        <v>1000.0</v>
      </c>
      <c r="V92" s="28">
        <f t="shared" si="7"/>
        <v>5500</v>
      </c>
    </row>
    <row r="93">
      <c r="A93" s="51"/>
      <c r="B93" s="51"/>
      <c r="C93" s="31" t="s">
        <v>110</v>
      </c>
      <c r="D93" s="32">
        <v>50.0</v>
      </c>
      <c r="E93" s="23">
        <v>0.0</v>
      </c>
      <c r="F93" s="24">
        <v>0.0</v>
      </c>
      <c r="G93" s="25">
        <v>0.0</v>
      </c>
      <c r="H93" s="23">
        <v>1.0</v>
      </c>
      <c r="I93" s="24">
        <v>1.0</v>
      </c>
      <c r="J93" s="25">
        <v>1.0</v>
      </c>
      <c r="K93" s="23">
        <v>1.0</v>
      </c>
      <c r="L93" s="24">
        <v>1.0</v>
      </c>
      <c r="M93" s="25">
        <v>1.0</v>
      </c>
      <c r="N93" s="23">
        <v>1.0</v>
      </c>
      <c r="O93" s="24">
        <v>1.0</v>
      </c>
      <c r="P93" s="25">
        <v>1.0</v>
      </c>
      <c r="Q93" s="23">
        <v>1.0</v>
      </c>
      <c r="R93" s="24">
        <v>1.0</v>
      </c>
      <c r="S93" s="25">
        <v>1.0</v>
      </c>
      <c r="T93" s="33" t="s">
        <v>21</v>
      </c>
      <c r="U93" s="27">
        <v>1000.0</v>
      </c>
      <c r="V93" s="28">
        <f t="shared" si="7"/>
        <v>5500</v>
      </c>
    </row>
    <row r="94">
      <c r="A94" s="50" t="s">
        <v>32</v>
      </c>
      <c r="B94" s="50">
        <v>9.840286639E9</v>
      </c>
      <c r="C94" s="31" t="s">
        <v>111</v>
      </c>
      <c r="D94" s="32">
        <v>58.0</v>
      </c>
      <c r="E94" s="23">
        <v>0.0</v>
      </c>
      <c r="F94" s="24">
        <v>0.0</v>
      </c>
      <c r="G94" s="25">
        <v>0.0</v>
      </c>
      <c r="H94" s="23">
        <v>1.0</v>
      </c>
      <c r="I94" s="24">
        <v>1.0</v>
      </c>
      <c r="J94" s="25">
        <v>1.0</v>
      </c>
      <c r="K94" s="23">
        <v>1.0</v>
      </c>
      <c r="L94" s="24">
        <v>1.0</v>
      </c>
      <c r="M94" s="25">
        <v>1.0</v>
      </c>
      <c r="N94" s="23">
        <v>1.0</v>
      </c>
      <c r="O94" s="24">
        <v>1.0</v>
      </c>
      <c r="P94" s="25">
        <v>1.0</v>
      </c>
      <c r="Q94" s="23">
        <v>1.0</v>
      </c>
      <c r="R94" s="24">
        <v>1.0</v>
      </c>
      <c r="S94" s="25">
        <v>1.0</v>
      </c>
      <c r="T94" s="33" t="s">
        <v>17</v>
      </c>
      <c r="U94" s="27">
        <v>1000.0</v>
      </c>
      <c r="V94" s="28">
        <f t="shared" si="7"/>
        <v>6500</v>
      </c>
    </row>
    <row r="95">
      <c r="A95" s="30"/>
      <c r="B95" s="30"/>
      <c r="C95" s="31" t="s">
        <v>112</v>
      </c>
      <c r="D95" s="32">
        <v>54.0</v>
      </c>
      <c r="E95" s="23">
        <v>0.0</v>
      </c>
      <c r="F95" s="24">
        <v>0.0</v>
      </c>
      <c r="G95" s="25">
        <v>0.0</v>
      </c>
      <c r="H95" s="23">
        <v>1.0</v>
      </c>
      <c r="I95" s="24">
        <v>1.0</v>
      </c>
      <c r="J95" s="25">
        <v>1.0</v>
      </c>
      <c r="K95" s="23">
        <v>1.0</v>
      </c>
      <c r="L95" s="24">
        <v>1.0</v>
      </c>
      <c r="M95" s="25">
        <v>1.0</v>
      </c>
      <c r="N95" s="23">
        <v>1.0</v>
      </c>
      <c r="O95" s="24">
        <v>1.0</v>
      </c>
      <c r="P95" s="25">
        <v>1.0</v>
      </c>
      <c r="Q95" s="23">
        <v>1.0</v>
      </c>
      <c r="R95" s="24">
        <v>1.0</v>
      </c>
      <c r="S95" s="25">
        <v>1.0</v>
      </c>
      <c r="T95" s="33" t="s">
        <v>17</v>
      </c>
      <c r="U95" s="27">
        <v>1000.0</v>
      </c>
      <c r="V95" s="28">
        <f t="shared" si="7"/>
        <v>6500</v>
      </c>
    </row>
    <row r="96">
      <c r="A96" s="30"/>
      <c r="B96" s="30"/>
      <c r="C96" s="31" t="s">
        <v>113</v>
      </c>
      <c r="D96" s="32">
        <v>32.0</v>
      </c>
      <c r="E96" s="23">
        <v>0.0</v>
      </c>
      <c r="F96" s="24">
        <v>0.0</v>
      </c>
      <c r="G96" s="25">
        <v>0.0</v>
      </c>
      <c r="H96" s="23">
        <v>1.0</v>
      </c>
      <c r="I96" s="24">
        <v>1.0</v>
      </c>
      <c r="J96" s="25">
        <v>1.0</v>
      </c>
      <c r="K96" s="23">
        <v>1.0</v>
      </c>
      <c r="L96" s="24">
        <v>1.0</v>
      </c>
      <c r="M96" s="25">
        <v>1.0</v>
      </c>
      <c r="N96" s="23">
        <v>1.0</v>
      </c>
      <c r="O96" s="24">
        <v>1.0</v>
      </c>
      <c r="P96" s="25">
        <v>1.0</v>
      </c>
      <c r="Q96" s="23">
        <v>1.0</v>
      </c>
      <c r="R96" s="24">
        <v>1.0</v>
      </c>
      <c r="S96" s="25">
        <v>1.0</v>
      </c>
      <c r="T96" s="33" t="s">
        <v>17</v>
      </c>
      <c r="U96" s="27">
        <v>1000.0</v>
      </c>
      <c r="V96" s="28">
        <f t="shared" si="7"/>
        <v>6500</v>
      </c>
    </row>
    <row r="97">
      <c r="A97" s="51"/>
      <c r="B97" s="51"/>
      <c r="C97" s="31" t="s">
        <v>114</v>
      </c>
      <c r="D97" s="32">
        <v>32.0</v>
      </c>
      <c r="E97" s="23">
        <v>0.0</v>
      </c>
      <c r="F97" s="24">
        <v>0.0</v>
      </c>
      <c r="G97" s="25">
        <v>0.0</v>
      </c>
      <c r="H97" s="23">
        <v>1.0</v>
      </c>
      <c r="I97" s="24">
        <v>1.0</v>
      </c>
      <c r="J97" s="25">
        <v>1.0</v>
      </c>
      <c r="K97" s="23">
        <v>1.0</v>
      </c>
      <c r="L97" s="24">
        <v>1.0</v>
      </c>
      <c r="M97" s="25">
        <v>1.0</v>
      </c>
      <c r="N97" s="23">
        <v>1.0</v>
      </c>
      <c r="O97" s="24">
        <v>1.0</v>
      </c>
      <c r="P97" s="25">
        <v>1.0</v>
      </c>
      <c r="Q97" s="23">
        <v>1.0</v>
      </c>
      <c r="R97" s="24">
        <v>1.0</v>
      </c>
      <c r="S97" s="25">
        <v>1.0</v>
      </c>
      <c r="T97" s="33" t="s">
        <v>17</v>
      </c>
      <c r="U97" s="27">
        <v>1000.0</v>
      </c>
      <c r="V97" s="28">
        <f t="shared" si="7"/>
        <v>6500</v>
      </c>
    </row>
    <row r="98">
      <c r="A98" s="57" t="s">
        <v>115</v>
      </c>
      <c r="B98" s="57">
        <v>8.500643619E9</v>
      </c>
      <c r="C98" s="31" t="s">
        <v>115</v>
      </c>
      <c r="D98" s="32">
        <v>27.0</v>
      </c>
      <c r="E98" s="23">
        <v>0.0</v>
      </c>
      <c r="F98" s="24">
        <v>0.0</v>
      </c>
      <c r="G98" s="25">
        <v>0.0</v>
      </c>
      <c r="H98" s="23">
        <v>1.0</v>
      </c>
      <c r="I98" s="24">
        <v>1.0</v>
      </c>
      <c r="J98" s="25">
        <v>1.0</v>
      </c>
      <c r="K98" s="23">
        <v>1.0</v>
      </c>
      <c r="L98" s="24">
        <v>1.0</v>
      </c>
      <c r="M98" s="25">
        <v>1.0</v>
      </c>
      <c r="N98" s="23">
        <v>0.0</v>
      </c>
      <c r="O98" s="24">
        <v>0.0</v>
      </c>
      <c r="P98" s="25">
        <v>0.0</v>
      </c>
      <c r="Q98" s="23">
        <v>0.0</v>
      </c>
      <c r="R98" s="24">
        <v>0.0</v>
      </c>
      <c r="S98" s="25">
        <v>0.0</v>
      </c>
      <c r="T98" s="33" t="s">
        <v>21</v>
      </c>
      <c r="U98" s="27">
        <v>1000.0</v>
      </c>
      <c r="V98" s="28">
        <f t="shared" si="7"/>
        <v>5500</v>
      </c>
    </row>
    <row r="99">
      <c r="A99" s="52" t="s">
        <v>116</v>
      </c>
      <c r="B99" s="52">
        <v>9.494948764E9</v>
      </c>
      <c r="C99" s="31" t="s">
        <v>116</v>
      </c>
      <c r="D99" s="32">
        <v>31.0</v>
      </c>
      <c r="E99" s="23">
        <v>0.0</v>
      </c>
      <c r="F99" s="24">
        <v>0.0</v>
      </c>
      <c r="G99" s="25">
        <v>0.0</v>
      </c>
      <c r="H99" s="23">
        <v>1.0</v>
      </c>
      <c r="I99" s="24">
        <v>1.0</v>
      </c>
      <c r="J99" s="25">
        <v>1.0</v>
      </c>
      <c r="K99" s="23">
        <v>1.0</v>
      </c>
      <c r="L99" s="24">
        <v>1.0</v>
      </c>
      <c r="M99" s="25">
        <v>1.0</v>
      </c>
      <c r="N99" s="23">
        <v>1.0</v>
      </c>
      <c r="O99" s="24">
        <v>1.0</v>
      </c>
      <c r="P99" s="25">
        <v>1.0</v>
      </c>
      <c r="Q99" s="23">
        <v>1.0</v>
      </c>
      <c r="R99" s="24">
        <v>1.0</v>
      </c>
      <c r="S99" s="25">
        <v>1.0</v>
      </c>
      <c r="T99" s="33" t="s">
        <v>21</v>
      </c>
      <c r="U99" s="27">
        <v>1000.0</v>
      </c>
      <c r="V99" s="28">
        <f t="shared" si="7"/>
        <v>5500</v>
      </c>
    </row>
    <row r="100">
      <c r="A100" s="50" t="s">
        <v>117</v>
      </c>
      <c r="B100" s="50">
        <v>9.491933869E9</v>
      </c>
      <c r="C100" s="31" t="s">
        <v>117</v>
      </c>
      <c r="D100" s="32">
        <v>21.0</v>
      </c>
      <c r="E100" s="23">
        <v>0.0</v>
      </c>
      <c r="F100" s="24">
        <v>0.0</v>
      </c>
      <c r="G100" s="25">
        <v>0.0</v>
      </c>
      <c r="H100" s="23">
        <v>1.0</v>
      </c>
      <c r="I100" s="24">
        <v>1.0</v>
      </c>
      <c r="J100" s="25">
        <v>1.0</v>
      </c>
      <c r="K100" s="23">
        <v>1.0</v>
      </c>
      <c r="L100" s="24">
        <v>1.0</v>
      </c>
      <c r="M100" s="25">
        <v>1.0</v>
      </c>
      <c r="N100" s="23">
        <v>1.0</v>
      </c>
      <c r="O100" s="24">
        <v>1.0</v>
      </c>
      <c r="P100" s="25">
        <v>1.0</v>
      </c>
      <c r="Q100" s="23">
        <v>1.0</v>
      </c>
      <c r="R100" s="24">
        <v>1.0</v>
      </c>
      <c r="S100" s="25">
        <v>1.0</v>
      </c>
      <c r="T100" s="33" t="s">
        <v>21</v>
      </c>
      <c r="U100" s="59">
        <v>500.0</v>
      </c>
      <c r="V100" s="39">
        <v>3500.0</v>
      </c>
    </row>
    <row r="101">
      <c r="A101" s="30"/>
      <c r="B101" s="30"/>
      <c r="C101" s="31" t="s">
        <v>118</v>
      </c>
      <c r="D101" s="32">
        <v>50.0</v>
      </c>
      <c r="E101" s="23">
        <v>0.0</v>
      </c>
      <c r="F101" s="24">
        <v>0.0</v>
      </c>
      <c r="G101" s="25">
        <v>0.0</v>
      </c>
      <c r="H101" s="23">
        <v>1.0</v>
      </c>
      <c r="I101" s="24">
        <v>1.0</v>
      </c>
      <c r="J101" s="25">
        <v>1.0</v>
      </c>
      <c r="K101" s="23">
        <v>1.0</v>
      </c>
      <c r="L101" s="24">
        <v>1.0</v>
      </c>
      <c r="M101" s="25">
        <v>1.0</v>
      </c>
      <c r="N101" s="23">
        <v>1.0</v>
      </c>
      <c r="O101" s="24">
        <v>1.0</v>
      </c>
      <c r="P101" s="25">
        <v>1.0</v>
      </c>
      <c r="Q101" s="23">
        <v>1.0</v>
      </c>
      <c r="R101" s="24">
        <v>1.0</v>
      </c>
      <c r="S101" s="25">
        <v>1.0</v>
      </c>
      <c r="T101" s="33" t="s">
        <v>21</v>
      </c>
      <c r="U101" s="27">
        <v>1000.0</v>
      </c>
      <c r="V101" s="28">
        <f t="shared" ref="V101:V111" si="8">IF(T101="AC",6500,5500)</f>
        <v>5500</v>
      </c>
    </row>
    <row r="102">
      <c r="A102" s="51"/>
      <c r="B102" s="51"/>
      <c r="C102" s="31" t="s">
        <v>119</v>
      </c>
      <c r="D102" s="32">
        <v>28.0</v>
      </c>
      <c r="E102" s="23">
        <v>0.0</v>
      </c>
      <c r="F102" s="24">
        <v>0.0</v>
      </c>
      <c r="G102" s="25">
        <v>0.0</v>
      </c>
      <c r="H102" s="23">
        <v>1.0</v>
      </c>
      <c r="I102" s="24">
        <v>1.0</v>
      </c>
      <c r="J102" s="25">
        <v>1.0</v>
      </c>
      <c r="K102" s="23">
        <v>1.0</v>
      </c>
      <c r="L102" s="24">
        <v>1.0</v>
      </c>
      <c r="M102" s="25">
        <v>1.0</v>
      </c>
      <c r="N102" s="23">
        <v>1.0</v>
      </c>
      <c r="O102" s="24">
        <v>1.0</v>
      </c>
      <c r="P102" s="25">
        <v>1.0</v>
      </c>
      <c r="Q102" s="23">
        <v>1.0</v>
      </c>
      <c r="R102" s="24">
        <v>1.0</v>
      </c>
      <c r="S102" s="25">
        <v>1.0</v>
      </c>
      <c r="T102" s="33" t="s">
        <v>21</v>
      </c>
      <c r="U102" s="27">
        <v>1000.0</v>
      </c>
      <c r="V102" s="28">
        <f t="shared" si="8"/>
        <v>5500</v>
      </c>
    </row>
    <row r="103">
      <c r="A103" s="50" t="s">
        <v>120</v>
      </c>
      <c r="B103" s="50">
        <v>9.110763311E9</v>
      </c>
      <c r="C103" s="31" t="s">
        <v>120</v>
      </c>
      <c r="D103" s="32">
        <v>26.0</v>
      </c>
      <c r="E103" s="23">
        <v>0.0</v>
      </c>
      <c r="F103" s="24">
        <v>0.0</v>
      </c>
      <c r="G103" s="25">
        <v>0.0</v>
      </c>
      <c r="H103" s="23">
        <v>1.0</v>
      </c>
      <c r="I103" s="24">
        <v>1.0</v>
      </c>
      <c r="J103" s="25">
        <v>1.0</v>
      </c>
      <c r="K103" s="23">
        <v>1.0</v>
      </c>
      <c r="L103" s="24">
        <v>1.0</v>
      </c>
      <c r="M103" s="25">
        <v>1.0</v>
      </c>
      <c r="N103" s="23">
        <v>1.0</v>
      </c>
      <c r="O103" s="24">
        <v>1.0</v>
      </c>
      <c r="P103" s="25">
        <v>1.0</v>
      </c>
      <c r="Q103" s="23">
        <v>1.0</v>
      </c>
      <c r="R103" s="24">
        <v>1.0</v>
      </c>
      <c r="S103" s="25">
        <v>1.0</v>
      </c>
      <c r="T103" s="33" t="s">
        <v>17</v>
      </c>
      <c r="U103" s="27">
        <v>1000.0</v>
      </c>
      <c r="V103" s="28">
        <f t="shared" si="8"/>
        <v>6500</v>
      </c>
    </row>
    <row r="104">
      <c r="A104" s="51"/>
      <c r="B104" s="51"/>
      <c r="C104" s="31" t="s">
        <v>121</v>
      </c>
      <c r="D104" s="32">
        <v>26.0</v>
      </c>
      <c r="E104" s="23">
        <v>0.0</v>
      </c>
      <c r="F104" s="24">
        <v>0.0</v>
      </c>
      <c r="G104" s="25">
        <v>0.0</v>
      </c>
      <c r="H104" s="23">
        <v>1.0</v>
      </c>
      <c r="I104" s="24">
        <v>1.0</v>
      </c>
      <c r="J104" s="25">
        <v>1.0</v>
      </c>
      <c r="K104" s="23">
        <v>1.0</v>
      </c>
      <c r="L104" s="24">
        <v>1.0</v>
      </c>
      <c r="M104" s="25">
        <v>1.0</v>
      </c>
      <c r="N104" s="23">
        <v>1.0</v>
      </c>
      <c r="O104" s="24">
        <v>1.0</v>
      </c>
      <c r="P104" s="25">
        <v>1.0</v>
      </c>
      <c r="Q104" s="23">
        <v>1.0</v>
      </c>
      <c r="R104" s="24">
        <v>1.0</v>
      </c>
      <c r="S104" s="25">
        <v>1.0</v>
      </c>
      <c r="T104" s="33" t="s">
        <v>17</v>
      </c>
      <c r="U104" s="27">
        <v>1000.0</v>
      </c>
      <c r="V104" s="28">
        <f t="shared" si="8"/>
        <v>6500</v>
      </c>
    </row>
    <row r="105">
      <c r="A105" s="50" t="s">
        <v>122</v>
      </c>
      <c r="B105" s="50">
        <v>9.381301587E9</v>
      </c>
      <c r="C105" s="31" t="s">
        <v>122</v>
      </c>
      <c r="D105" s="32">
        <v>22.0</v>
      </c>
      <c r="E105" s="23">
        <v>0.0</v>
      </c>
      <c r="F105" s="24">
        <v>0.0</v>
      </c>
      <c r="G105" s="25">
        <v>0.0</v>
      </c>
      <c r="H105" s="23">
        <v>1.0</v>
      </c>
      <c r="I105" s="24">
        <v>1.0</v>
      </c>
      <c r="J105" s="25">
        <v>1.0</v>
      </c>
      <c r="K105" s="23">
        <v>1.0</v>
      </c>
      <c r="L105" s="24">
        <v>1.0</v>
      </c>
      <c r="M105" s="25">
        <v>1.0</v>
      </c>
      <c r="N105" s="23">
        <v>1.0</v>
      </c>
      <c r="O105" s="24">
        <v>1.0</v>
      </c>
      <c r="P105" s="25">
        <v>1.0</v>
      </c>
      <c r="Q105" s="23">
        <v>1.0</v>
      </c>
      <c r="R105" s="24">
        <v>1.0</v>
      </c>
      <c r="S105" s="25">
        <v>1.0</v>
      </c>
      <c r="T105" s="33" t="s">
        <v>21</v>
      </c>
      <c r="U105" s="27">
        <v>1000.0</v>
      </c>
      <c r="V105" s="28">
        <f t="shared" si="8"/>
        <v>5500</v>
      </c>
    </row>
    <row r="106">
      <c r="A106" s="51"/>
      <c r="B106" s="51"/>
      <c r="C106" s="31" t="s">
        <v>123</v>
      </c>
      <c r="D106" s="32">
        <v>51.0</v>
      </c>
      <c r="E106" s="23">
        <v>0.0</v>
      </c>
      <c r="F106" s="24">
        <v>0.0</v>
      </c>
      <c r="G106" s="25">
        <v>0.0</v>
      </c>
      <c r="H106" s="23">
        <v>1.0</v>
      </c>
      <c r="I106" s="24">
        <v>1.0</v>
      </c>
      <c r="J106" s="25">
        <v>1.0</v>
      </c>
      <c r="K106" s="23">
        <v>1.0</v>
      </c>
      <c r="L106" s="24">
        <v>1.0</v>
      </c>
      <c r="M106" s="25">
        <v>1.0</v>
      </c>
      <c r="N106" s="23">
        <v>1.0</v>
      </c>
      <c r="O106" s="24">
        <v>1.0</v>
      </c>
      <c r="P106" s="25">
        <v>1.0</v>
      </c>
      <c r="Q106" s="23">
        <v>1.0</v>
      </c>
      <c r="R106" s="24">
        <v>1.0</v>
      </c>
      <c r="S106" s="25">
        <v>1.0</v>
      </c>
      <c r="T106" s="33" t="s">
        <v>21</v>
      </c>
      <c r="U106" s="27">
        <v>1000.0</v>
      </c>
      <c r="V106" s="28">
        <f t="shared" si="8"/>
        <v>5500</v>
      </c>
    </row>
    <row r="107">
      <c r="A107" s="50" t="s">
        <v>124</v>
      </c>
      <c r="B107" s="50">
        <v>7.799341503E9</v>
      </c>
      <c r="C107" s="31" t="s">
        <v>124</v>
      </c>
      <c r="D107" s="32">
        <v>45.0</v>
      </c>
      <c r="E107" s="23">
        <v>0.0</v>
      </c>
      <c r="F107" s="24">
        <v>0.0</v>
      </c>
      <c r="G107" s="25">
        <v>0.0</v>
      </c>
      <c r="H107" s="23">
        <v>1.0</v>
      </c>
      <c r="I107" s="24">
        <v>1.0</v>
      </c>
      <c r="J107" s="25">
        <v>1.0</v>
      </c>
      <c r="K107" s="23">
        <v>1.0</v>
      </c>
      <c r="L107" s="24">
        <v>1.0</v>
      </c>
      <c r="M107" s="25">
        <v>1.0</v>
      </c>
      <c r="N107" s="23">
        <v>1.0</v>
      </c>
      <c r="O107" s="24">
        <v>1.0</v>
      </c>
      <c r="P107" s="25">
        <v>1.0</v>
      </c>
      <c r="Q107" s="23">
        <v>1.0</v>
      </c>
      <c r="R107" s="24">
        <v>1.0</v>
      </c>
      <c r="S107" s="25">
        <v>1.0</v>
      </c>
      <c r="T107" s="33" t="s">
        <v>21</v>
      </c>
      <c r="U107" s="27">
        <v>1000.0</v>
      </c>
      <c r="V107" s="28">
        <f t="shared" si="8"/>
        <v>5500</v>
      </c>
    </row>
    <row r="108">
      <c r="A108" s="30"/>
      <c r="B108" s="30"/>
      <c r="C108" s="31" t="s">
        <v>125</v>
      </c>
      <c r="D108" s="32">
        <v>68.0</v>
      </c>
      <c r="E108" s="23">
        <v>0.0</v>
      </c>
      <c r="F108" s="24">
        <v>0.0</v>
      </c>
      <c r="G108" s="25">
        <v>0.0</v>
      </c>
      <c r="H108" s="23">
        <v>1.0</v>
      </c>
      <c r="I108" s="24">
        <v>1.0</v>
      </c>
      <c r="J108" s="25">
        <v>1.0</v>
      </c>
      <c r="K108" s="23">
        <v>1.0</v>
      </c>
      <c r="L108" s="24">
        <v>1.0</v>
      </c>
      <c r="M108" s="25">
        <v>1.0</v>
      </c>
      <c r="N108" s="23">
        <v>1.0</v>
      </c>
      <c r="O108" s="24">
        <v>1.0</v>
      </c>
      <c r="P108" s="25">
        <v>1.0</v>
      </c>
      <c r="Q108" s="23">
        <v>1.0</v>
      </c>
      <c r="R108" s="24">
        <v>1.0</v>
      </c>
      <c r="S108" s="25">
        <v>1.0</v>
      </c>
      <c r="T108" s="33" t="s">
        <v>21</v>
      </c>
      <c r="U108" s="27">
        <v>1000.0</v>
      </c>
      <c r="V108" s="28">
        <f t="shared" si="8"/>
        <v>5500</v>
      </c>
    </row>
    <row r="109">
      <c r="A109" s="30"/>
      <c r="B109" s="30"/>
      <c r="C109" s="31" t="s">
        <v>126</v>
      </c>
      <c r="D109" s="32">
        <v>12.0</v>
      </c>
      <c r="E109" s="23">
        <v>0.0</v>
      </c>
      <c r="F109" s="24">
        <v>0.0</v>
      </c>
      <c r="G109" s="25">
        <v>0.0</v>
      </c>
      <c r="H109" s="23">
        <v>1.0</v>
      </c>
      <c r="I109" s="24">
        <v>1.0</v>
      </c>
      <c r="J109" s="25">
        <v>1.0</v>
      </c>
      <c r="K109" s="23">
        <v>1.0</v>
      </c>
      <c r="L109" s="24">
        <v>1.0</v>
      </c>
      <c r="M109" s="25">
        <v>1.0</v>
      </c>
      <c r="N109" s="23">
        <v>1.0</v>
      </c>
      <c r="O109" s="24">
        <v>1.0</v>
      </c>
      <c r="P109" s="25">
        <v>1.0</v>
      </c>
      <c r="Q109" s="23">
        <v>1.0</v>
      </c>
      <c r="R109" s="24">
        <v>1.0</v>
      </c>
      <c r="S109" s="25">
        <v>1.0</v>
      </c>
      <c r="T109" s="33" t="s">
        <v>21</v>
      </c>
      <c r="U109" s="27">
        <v>1000.0</v>
      </c>
      <c r="V109" s="28">
        <f t="shared" si="8"/>
        <v>5500</v>
      </c>
    </row>
    <row r="110">
      <c r="A110" s="51"/>
      <c r="B110" s="51"/>
      <c r="C110" s="31" t="s">
        <v>127</v>
      </c>
      <c r="D110" s="32">
        <v>11.0</v>
      </c>
      <c r="E110" s="23">
        <v>0.0</v>
      </c>
      <c r="F110" s="24">
        <v>0.0</v>
      </c>
      <c r="G110" s="25">
        <v>0.0</v>
      </c>
      <c r="H110" s="23">
        <v>1.0</v>
      </c>
      <c r="I110" s="24">
        <v>1.0</v>
      </c>
      <c r="J110" s="25">
        <v>1.0</v>
      </c>
      <c r="K110" s="23">
        <v>1.0</v>
      </c>
      <c r="L110" s="24">
        <v>1.0</v>
      </c>
      <c r="M110" s="25">
        <v>1.0</v>
      </c>
      <c r="N110" s="23">
        <v>1.0</v>
      </c>
      <c r="O110" s="24">
        <v>1.0</v>
      </c>
      <c r="P110" s="25">
        <v>1.0</v>
      </c>
      <c r="Q110" s="23">
        <v>1.0</v>
      </c>
      <c r="R110" s="24">
        <v>1.0</v>
      </c>
      <c r="S110" s="25">
        <v>1.0</v>
      </c>
      <c r="T110" s="33" t="s">
        <v>21</v>
      </c>
      <c r="U110" s="27">
        <v>1000.0</v>
      </c>
      <c r="V110" s="28">
        <f t="shared" si="8"/>
        <v>5500</v>
      </c>
    </row>
    <row r="111">
      <c r="A111" s="52" t="s">
        <v>128</v>
      </c>
      <c r="B111" s="52">
        <v>8.143501439E9</v>
      </c>
      <c r="C111" s="31" t="s">
        <v>128</v>
      </c>
      <c r="D111" s="32">
        <v>31.0</v>
      </c>
      <c r="E111" s="23">
        <v>0.0</v>
      </c>
      <c r="F111" s="24">
        <v>0.0</v>
      </c>
      <c r="G111" s="25">
        <v>0.0</v>
      </c>
      <c r="H111" s="23">
        <v>1.0</v>
      </c>
      <c r="I111" s="24">
        <v>1.0</v>
      </c>
      <c r="J111" s="25">
        <v>1.0</v>
      </c>
      <c r="K111" s="23">
        <v>1.0</v>
      </c>
      <c r="L111" s="24">
        <v>1.0</v>
      </c>
      <c r="M111" s="25">
        <v>1.0</v>
      </c>
      <c r="N111" s="23">
        <v>1.0</v>
      </c>
      <c r="O111" s="24">
        <v>1.0</v>
      </c>
      <c r="P111" s="25">
        <v>1.0</v>
      </c>
      <c r="Q111" s="23">
        <v>0.0</v>
      </c>
      <c r="R111" s="24">
        <v>0.0</v>
      </c>
      <c r="S111" s="25">
        <v>0.0</v>
      </c>
      <c r="T111" s="33" t="s">
        <v>17</v>
      </c>
      <c r="U111" s="27">
        <v>1000.0</v>
      </c>
      <c r="V111" s="28">
        <f t="shared" si="8"/>
        <v>6500</v>
      </c>
    </row>
    <row r="112">
      <c r="A112" s="50" t="s">
        <v>55</v>
      </c>
      <c r="B112" s="50">
        <v>9.88468282E9</v>
      </c>
      <c r="C112" s="31" t="s">
        <v>129</v>
      </c>
      <c r="D112" s="32">
        <v>16.0</v>
      </c>
      <c r="E112" s="23">
        <v>0.0</v>
      </c>
      <c r="F112" s="24">
        <v>0.0</v>
      </c>
      <c r="G112" s="25">
        <v>0.0</v>
      </c>
      <c r="H112" s="23">
        <v>1.0</v>
      </c>
      <c r="I112" s="24">
        <v>1.0</v>
      </c>
      <c r="J112" s="25">
        <v>1.0</v>
      </c>
      <c r="K112" s="23">
        <v>1.0</v>
      </c>
      <c r="L112" s="24">
        <v>1.0</v>
      </c>
      <c r="M112" s="25">
        <v>1.0</v>
      </c>
      <c r="N112" s="23">
        <v>1.0</v>
      </c>
      <c r="O112" s="24">
        <v>1.0</v>
      </c>
      <c r="P112" s="25">
        <v>1.0</v>
      </c>
      <c r="Q112" s="23">
        <v>0.0</v>
      </c>
      <c r="R112" s="24">
        <v>0.0</v>
      </c>
      <c r="S112" s="25">
        <v>0.0</v>
      </c>
      <c r="T112" s="33" t="s">
        <v>21</v>
      </c>
      <c r="U112" s="27">
        <v>500.0</v>
      </c>
      <c r="V112" s="60">
        <v>2500.0</v>
      </c>
    </row>
    <row r="113">
      <c r="A113" s="30"/>
      <c r="B113" s="30"/>
      <c r="C113" s="31" t="s">
        <v>130</v>
      </c>
      <c r="D113" s="32">
        <v>16.0</v>
      </c>
      <c r="E113" s="23">
        <v>0.0</v>
      </c>
      <c r="F113" s="24">
        <v>0.0</v>
      </c>
      <c r="G113" s="25">
        <v>0.0</v>
      </c>
      <c r="H113" s="23">
        <v>1.0</v>
      </c>
      <c r="I113" s="24">
        <v>1.0</v>
      </c>
      <c r="J113" s="25">
        <v>1.0</v>
      </c>
      <c r="K113" s="23">
        <v>1.0</v>
      </c>
      <c r="L113" s="24">
        <v>1.0</v>
      </c>
      <c r="M113" s="25">
        <v>1.0</v>
      </c>
      <c r="N113" s="23">
        <v>1.0</v>
      </c>
      <c r="O113" s="24">
        <v>1.0</v>
      </c>
      <c r="P113" s="25">
        <v>1.0</v>
      </c>
      <c r="Q113" s="23">
        <v>0.0</v>
      </c>
      <c r="R113" s="24">
        <v>0.0</v>
      </c>
      <c r="S113" s="25">
        <v>0.0</v>
      </c>
      <c r="T113" s="33" t="s">
        <v>21</v>
      </c>
      <c r="U113" s="27">
        <v>500.0</v>
      </c>
      <c r="V113" s="60">
        <v>2500.0</v>
      </c>
    </row>
    <row r="114">
      <c r="A114" s="30"/>
      <c r="B114" s="30"/>
      <c r="C114" s="31" t="s">
        <v>131</v>
      </c>
      <c r="D114" s="32">
        <v>16.0</v>
      </c>
      <c r="E114" s="23">
        <v>0.0</v>
      </c>
      <c r="F114" s="24">
        <v>0.0</v>
      </c>
      <c r="G114" s="25">
        <v>0.0</v>
      </c>
      <c r="H114" s="23">
        <v>1.0</v>
      </c>
      <c r="I114" s="24">
        <v>1.0</v>
      </c>
      <c r="J114" s="25">
        <v>1.0</v>
      </c>
      <c r="K114" s="23">
        <v>1.0</v>
      </c>
      <c r="L114" s="24">
        <v>1.0</v>
      </c>
      <c r="M114" s="25">
        <v>1.0</v>
      </c>
      <c r="N114" s="23">
        <v>1.0</v>
      </c>
      <c r="O114" s="24">
        <v>1.0</v>
      </c>
      <c r="P114" s="25">
        <v>1.0</v>
      </c>
      <c r="Q114" s="23">
        <v>0.0</v>
      </c>
      <c r="R114" s="24">
        <v>0.0</v>
      </c>
      <c r="S114" s="25">
        <v>0.0</v>
      </c>
      <c r="T114" s="33" t="s">
        <v>21</v>
      </c>
      <c r="U114" s="27">
        <v>500.0</v>
      </c>
      <c r="V114" s="60">
        <v>2500.0</v>
      </c>
    </row>
    <row r="115">
      <c r="A115" s="30"/>
      <c r="B115" s="30"/>
      <c r="C115" s="31" t="s">
        <v>132</v>
      </c>
      <c r="D115" s="32">
        <v>16.0</v>
      </c>
      <c r="E115" s="23">
        <v>0.0</v>
      </c>
      <c r="F115" s="24">
        <v>0.0</v>
      </c>
      <c r="G115" s="25">
        <v>0.0</v>
      </c>
      <c r="H115" s="23">
        <v>1.0</v>
      </c>
      <c r="I115" s="24">
        <v>1.0</v>
      </c>
      <c r="J115" s="25">
        <v>1.0</v>
      </c>
      <c r="K115" s="23">
        <v>1.0</v>
      </c>
      <c r="L115" s="24">
        <v>1.0</v>
      </c>
      <c r="M115" s="25">
        <v>1.0</v>
      </c>
      <c r="N115" s="23">
        <v>1.0</v>
      </c>
      <c r="O115" s="24">
        <v>1.0</v>
      </c>
      <c r="P115" s="25">
        <v>1.0</v>
      </c>
      <c r="Q115" s="23">
        <v>0.0</v>
      </c>
      <c r="R115" s="24">
        <v>0.0</v>
      </c>
      <c r="S115" s="25">
        <v>0.0</v>
      </c>
      <c r="T115" s="33" t="s">
        <v>21</v>
      </c>
      <c r="U115" s="27">
        <v>500.0</v>
      </c>
      <c r="V115" s="60">
        <v>2500.0</v>
      </c>
    </row>
    <row r="116">
      <c r="A116" s="30"/>
      <c r="B116" s="30"/>
      <c r="C116" s="31" t="s">
        <v>133</v>
      </c>
      <c r="D116" s="32">
        <v>16.0</v>
      </c>
      <c r="E116" s="23">
        <v>0.0</v>
      </c>
      <c r="F116" s="24">
        <v>0.0</v>
      </c>
      <c r="G116" s="25">
        <v>0.0</v>
      </c>
      <c r="H116" s="23">
        <v>1.0</v>
      </c>
      <c r="I116" s="24">
        <v>1.0</v>
      </c>
      <c r="J116" s="25">
        <v>1.0</v>
      </c>
      <c r="K116" s="23">
        <v>1.0</v>
      </c>
      <c r="L116" s="24">
        <v>1.0</v>
      </c>
      <c r="M116" s="25">
        <v>1.0</v>
      </c>
      <c r="N116" s="23">
        <v>1.0</v>
      </c>
      <c r="O116" s="24">
        <v>1.0</v>
      </c>
      <c r="P116" s="25">
        <v>1.0</v>
      </c>
      <c r="Q116" s="23">
        <v>0.0</v>
      </c>
      <c r="R116" s="24">
        <v>0.0</v>
      </c>
      <c r="S116" s="25">
        <v>0.0</v>
      </c>
      <c r="T116" s="33" t="s">
        <v>21</v>
      </c>
      <c r="U116" s="27">
        <v>500.0</v>
      </c>
      <c r="V116" s="60">
        <v>2500.0</v>
      </c>
    </row>
    <row r="117">
      <c r="A117" s="30"/>
      <c r="B117" s="30"/>
      <c r="C117" s="31" t="s">
        <v>134</v>
      </c>
      <c r="D117" s="32">
        <v>16.0</v>
      </c>
      <c r="E117" s="23">
        <v>0.0</v>
      </c>
      <c r="F117" s="24">
        <v>0.0</v>
      </c>
      <c r="G117" s="25">
        <v>0.0</v>
      </c>
      <c r="H117" s="23">
        <v>1.0</v>
      </c>
      <c r="I117" s="24">
        <v>1.0</v>
      </c>
      <c r="J117" s="25">
        <v>1.0</v>
      </c>
      <c r="K117" s="23">
        <v>1.0</v>
      </c>
      <c r="L117" s="24">
        <v>1.0</v>
      </c>
      <c r="M117" s="25">
        <v>1.0</v>
      </c>
      <c r="N117" s="23">
        <v>1.0</v>
      </c>
      <c r="O117" s="24">
        <v>1.0</v>
      </c>
      <c r="P117" s="25">
        <v>1.0</v>
      </c>
      <c r="Q117" s="23">
        <v>0.0</v>
      </c>
      <c r="R117" s="24">
        <v>0.0</v>
      </c>
      <c r="S117" s="25">
        <v>0.0</v>
      </c>
      <c r="T117" s="33" t="s">
        <v>21</v>
      </c>
      <c r="U117" s="27">
        <v>500.0</v>
      </c>
      <c r="V117" s="60">
        <v>2500.0</v>
      </c>
    </row>
    <row r="118">
      <c r="A118" s="30"/>
      <c r="B118" s="30"/>
      <c r="C118" s="31" t="s">
        <v>135</v>
      </c>
      <c r="D118" s="32">
        <v>16.0</v>
      </c>
      <c r="E118" s="23">
        <v>0.0</v>
      </c>
      <c r="F118" s="24">
        <v>0.0</v>
      </c>
      <c r="G118" s="25">
        <v>0.0</v>
      </c>
      <c r="H118" s="23">
        <v>1.0</v>
      </c>
      <c r="I118" s="24">
        <v>1.0</v>
      </c>
      <c r="J118" s="25">
        <v>1.0</v>
      </c>
      <c r="K118" s="23">
        <v>1.0</v>
      </c>
      <c r="L118" s="24">
        <v>1.0</v>
      </c>
      <c r="M118" s="25">
        <v>1.0</v>
      </c>
      <c r="N118" s="23">
        <v>1.0</v>
      </c>
      <c r="O118" s="24">
        <v>1.0</v>
      </c>
      <c r="P118" s="25">
        <v>1.0</v>
      </c>
      <c r="Q118" s="23">
        <v>0.0</v>
      </c>
      <c r="R118" s="24">
        <v>0.0</v>
      </c>
      <c r="S118" s="25">
        <v>0.0</v>
      </c>
      <c r="T118" s="33" t="s">
        <v>21</v>
      </c>
      <c r="U118" s="27">
        <v>500.0</v>
      </c>
      <c r="V118" s="60">
        <v>2500.0</v>
      </c>
    </row>
    <row r="119">
      <c r="A119" s="30"/>
      <c r="B119" s="30"/>
      <c r="C119" s="31" t="s">
        <v>136</v>
      </c>
      <c r="D119" s="32">
        <v>16.0</v>
      </c>
      <c r="E119" s="23">
        <v>0.0</v>
      </c>
      <c r="F119" s="24">
        <v>0.0</v>
      </c>
      <c r="G119" s="25">
        <v>0.0</v>
      </c>
      <c r="H119" s="23">
        <v>1.0</v>
      </c>
      <c r="I119" s="24">
        <v>1.0</v>
      </c>
      <c r="J119" s="25">
        <v>1.0</v>
      </c>
      <c r="K119" s="23">
        <v>1.0</v>
      </c>
      <c r="L119" s="24">
        <v>1.0</v>
      </c>
      <c r="M119" s="25">
        <v>1.0</v>
      </c>
      <c r="N119" s="23">
        <v>1.0</v>
      </c>
      <c r="O119" s="24">
        <v>1.0</v>
      </c>
      <c r="P119" s="25">
        <v>1.0</v>
      </c>
      <c r="Q119" s="23">
        <v>0.0</v>
      </c>
      <c r="R119" s="24">
        <v>0.0</v>
      </c>
      <c r="S119" s="25">
        <v>0.0</v>
      </c>
      <c r="T119" s="33" t="s">
        <v>21</v>
      </c>
      <c r="U119" s="27">
        <v>500.0</v>
      </c>
      <c r="V119" s="60">
        <v>2500.0</v>
      </c>
    </row>
    <row r="120">
      <c r="A120" s="30"/>
      <c r="B120" s="30"/>
      <c r="C120" s="31" t="s">
        <v>137</v>
      </c>
      <c r="D120" s="32">
        <v>16.0</v>
      </c>
      <c r="E120" s="23">
        <v>0.0</v>
      </c>
      <c r="F120" s="24">
        <v>0.0</v>
      </c>
      <c r="G120" s="25">
        <v>0.0</v>
      </c>
      <c r="H120" s="23">
        <v>1.0</v>
      </c>
      <c r="I120" s="24">
        <v>1.0</v>
      </c>
      <c r="J120" s="25">
        <v>1.0</v>
      </c>
      <c r="K120" s="23">
        <v>1.0</v>
      </c>
      <c r="L120" s="24">
        <v>1.0</v>
      </c>
      <c r="M120" s="25">
        <v>1.0</v>
      </c>
      <c r="N120" s="23">
        <v>1.0</v>
      </c>
      <c r="O120" s="24">
        <v>1.0</v>
      </c>
      <c r="P120" s="25">
        <v>1.0</v>
      </c>
      <c r="Q120" s="23">
        <v>0.0</v>
      </c>
      <c r="R120" s="24">
        <v>0.0</v>
      </c>
      <c r="S120" s="25">
        <v>0.0</v>
      </c>
      <c r="T120" s="33" t="s">
        <v>21</v>
      </c>
      <c r="U120" s="27">
        <v>500.0</v>
      </c>
      <c r="V120" s="60">
        <v>2500.0</v>
      </c>
    </row>
    <row r="121">
      <c r="A121" s="30"/>
      <c r="B121" s="30"/>
      <c r="C121" s="31" t="s">
        <v>138</v>
      </c>
      <c r="D121" s="32">
        <v>16.0</v>
      </c>
      <c r="E121" s="23">
        <v>0.0</v>
      </c>
      <c r="F121" s="24">
        <v>0.0</v>
      </c>
      <c r="G121" s="25">
        <v>0.0</v>
      </c>
      <c r="H121" s="23">
        <v>1.0</v>
      </c>
      <c r="I121" s="24">
        <v>1.0</v>
      </c>
      <c r="J121" s="25">
        <v>1.0</v>
      </c>
      <c r="K121" s="23">
        <v>1.0</v>
      </c>
      <c r="L121" s="24">
        <v>1.0</v>
      </c>
      <c r="M121" s="25">
        <v>1.0</v>
      </c>
      <c r="N121" s="23">
        <v>1.0</v>
      </c>
      <c r="O121" s="24">
        <v>1.0</v>
      </c>
      <c r="P121" s="25">
        <v>1.0</v>
      </c>
      <c r="Q121" s="23">
        <v>0.0</v>
      </c>
      <c r="R121" s="24">
        <v>0.0</v>
      </c>
      <c r="S121" s="25">
        <v>0.0</v>
      </c>
      <c r="T121" s="33" t="s">
        <v>21</v>
      </c>
      <c r="U121" s="27">
        <v>500.0</v>
      </c>
      <c r="V121" s="60">
        <v>2500.0</v>
      </c>
    </row>
    <row r="122">
      <c r="A122" s="30"/>
      <c r="B122" s="30"/>
      <c r="C122" s="31" t="s">
        <v>139</v>
      </c>
      <c r="D122" s="32">
        <v>16.0</v>
      </c>
      <c r="E122" s="23">
        <v>0.0</v>
      </c>
      <c r="F122" s="24">
        <v>0.0</v>
      </c>
      <c r="G122" s="25">
        <v>0.0</v>
      </c>
      <c r="H122" s="23">
        <v>1.0</v>
      </c>
      <c r="I122" s="24">
        <v>1.0</v>
      </c>
      <c r="J122" s="25">
        <v>1.0</v>
      </c>
      <c r="K122" s="23">
        <v>1.0</v>
      </c>
      <c r="L122" s="24">
        <v>1.0</v>
      </c>
      <c r="M122" s="25">
        <v>1.0</v>
      </c>
      <c r="N122" s="23">
        <v>1.0</v>
      </c>
      <c r="O122" s="24">
        <v>1.0</v>
      </c>
      <c r="P122" s="25">
        <v>1.0</v>
      </c>
      <c r="Q122" s="23">
        <v>0.0</v>
      </c>
      <c r="R122" s="24">
        <v>0.0</v>
      </c>
      <c r="S122" s="25">
        <v>0.0</v>
      </c>
      <c r="T122" s="33" t="s">
        <v>21</v>
      </c>
      <c r="U122" s="27">
        <v>500.0</v>
      </c>
      <c r="V122" s="60">
        <v>2500.0</v>
      </c>
    </row>
    <row r="123">
      <c r="A123" s="30"/>
      <c r="B123" s="30"/>
      <c r="C123" s="31" t="s">
        <v>140</v>
      </c>
      <c r="D123" s="32">
        <v>16.0</v>
      </c>
      <c r="E123" s="23">
        <v>0.0</v>
      </c>
      <c r="F123" s="24">
        <v>0.0</v>
      </c>
      <c r="G123" s="25">
        <v>0.0</v>
      </c>
      <c r="H123" s="23">
        <v>1.0</v>
      </c>
      <c r="I123" s="24">
        <v>1.0</v>
      </c>
      <c r="J123" s="25">
        <v>1.0</v>
      </c>
      <c r="K123" s="23">
        <v>1.0</v>
      </c>
      <c r="L123" s="24">
        <v>1.0</v>
      </c>
      <c r="M123" s="25">
        <v>1.0</v>
      </c>
      <c r="N123" s="23">
        <v>1.0</v>
      </c>
      <c r="O123" s="24">
        <v>1.0</v>
      </c>
      <c r="P123" s="25">
        <v>1.0</v>
      </c>
      <c r="Q123" s="23">
        <v>0.0</v>
      </c>
      <c r="R123" s="24">
        <v>0.0</v>
      </c>
      <c r="S123" s="25">
        <v>0.0</v>
      </c>
      <c r="T123" s="33" t="s">
        <v>21</v>
      </c>
      <c r="U123" s="27">
        <v>500.0</v>
      </c>
      <c r="V123" s="60">
        <v>2500.0</v>
      </c>
    </row>
    <row r="124">
      <c r="A124" s="30"/>
      <c r="B124" s="30"/>
      <c r="C124" s="31" t="s">
        <v>141</v>
      </c>
      <c r="D124" s="32">
        <v>16.0</v>
      </c>
      <c r="E124" s="23">
        <v>0.0</v>
      </c>
      <c r="F124" s="24">
        <v>0.0</v>
      </c>
      <c r="G124" s="25">
        <v>0.0</v>
      </c>
      <c r="H124" s="23">
        <v>1.0</v>
      </c>
      <c r="I124" s="24">
        <v>1.0</v>
      </c>
      <c r="J124" s="25">
        <v>1.0</v>
      </c>
      <c r="K124" s="23">
        <v>1.0</v>
      </c>
      <c r="L124" s="24">
        <v>1.0</v>
      </c>
      <c r="M124" s="25">
        <v>1.0</v>
      </c>
      <c r="N124" s="23">
        <v>1.0</v>
      </c>
      <c r="O124" s="24">
        <v>1.0</v>
      </c>
      <c r="P124" s="25">
        <v>1.0</v>
      </c>
      <c r="Q124" s="23">
        <v>0.0</v>
      </c>
      <c r="R124" s="24">
        <v>0.0</v>
      </c>
      <c r="S124" s="25">
        <v>0.0</v>
      </c>
      <c r="T124" s="33" t="s">
        <v>21</v>
      </c>
      <c r="U124" s="27">
        <v>500.0</v>
      </c>
      <c r="V124" s="60">
        <v>2500.0</v>
      </c>
    </row>
    <row r="125">
      <c r="A125" s="30"/>
      <c r="B125" s="30"/>
      <c r="C125" s="31" t="s">
        <v>142</v>
      </c>
      <c r="D125" s="32">
        <v>16.0</v>
      </c>
      <c r="E125" s="23">
        <v>0.0</v>
      </c>
      <c r="F125" s="24">
        <v>0.0</v>
      </c>
      <c r="G125" s="25">
        <v>0.0</v>
      </c>
      <c r="H125" s="23">
        <v>1.0</v>
      </c>
      <c r="I125" s="24">
        <v>1.0</v>
      </c>
      <c r="J125" s="25">
        <v>1.0</v>
      </c>
      <c r="K125" s="23">
        <v>1.0</v>
      </c>
      <c r="L125" s="24">
        <v>1.0</v>
      </c>
      <c r="M125" s="25">
        <v>1.0</v>
      </c>
      <c r="N125" s="23">
        <v>1.0</v>
      </c>
      <c r="O125" s="24">
        <v>1.0</v>
      </c>
      <c r="P125" s="25">
        <v>1.0</v>
      </c>
      <c r="Q125" s="23">
        <v>0.0</v>
      </c>
      <c r="R125" s="24">
        <v>0.0</v>
      </c>
      <c r="S125" s="25">
        <v>0.0</v>
      </c>
      <c r="T125" s="33" t="s">
        <v>21</v>
      </c>
      <c r="U125" s="27">
        <v>500.0</v>
      </c>
      <c r="V125" s="60">
        <v>2500.0</v>
      </c>
    </row>
    <row r="126">
      <c r="A126" s="30"/>
      <c r="B126" s="30"/>
      <c r="C126" s="31" t="s">
        <v>143</v>
      </c>
      <c r="D126" s="32">
        <v>16.0</v>
      </c>
      <c r="E126" s="23">
        <v>0.0</v>
      </c>
      <c r="F126" s="24">
        <v>0.0</v>
      </c>
      <c r="G126" s="25">
        <v>0.0</v>
      </c>
      <c r="H126" s="23">
        <v>1.0</v>
      </c>
      <c r="I126" s="24">
        <v>1.0</v>
      </c>
      <c r="J126" s="25">
        <v>1.0</v>
      </c>
      <c r="K126" s="23">
        <v>1.0</v>
      </c>
      <c r="L126" s="24">
        <v>1.0</v>
      </c>
      <c r="M126" s="25">
        <v>1.0</v>
      </c>
      <c r="N126" s="23">
        <v>1.0</v>
      </c>
      <c r="O126" s="24">
        <v>1.0</v>
      </c>
      <c r="P126" s="25">
        <v>1.0</v>
      </c>
      <c r="Q126" s="23">
        <v>0.0</v>
      </c>
      <c r="R126" s="24">
        <v>0.0</v>
      </c>
      <c r="S126" s="25">
        <v>0.0</v>
      </c>
      <c r="T126" s="33" t="s">
        <v>21</v>
      </c>
      <c r="U126" s="27">
        <v>500.0</v>
      </c>
      <c r="V126" s="60">
        <v>2500.0</v>
      </c>
    </row>
    <row r="127">
      <c r="A127" s="51"/>
      <c r="B127" s="51"/>
      <c r="C127" s="31" t="s">
        <v>144</v>
      </c>
      <c r="D127" s="32">
        <v>16.0</v>
      </c>
      <c r="E127" s="23">
        <v>0.0</v>
      </c>
      <c r="F127" s="24">
        <v>0.0</v>
      </c>
      <c r="G127" s="25">
        <v>0.0</v>
      </c>
      <c r="H127" s="23">
        <v>1.0</v>
      </c>
      <c r="I127" s="24">
        <v>1.0</v>
      </c>
      <c r="J127" s="25">
        <v>1.0</v>
      </c>
      <c r="K127" s="23">
        <v>1.0</v>
      </c>
      <c r="L127" s="24">
        <v>1.0</v>
      </c>
      <c r="M127" s="25">
        <v>1.0</v>
      </c>
      <c r="N127" s="23">
        <v>1.0</v>
      </c>
      <c r="O127" s="24">
        <v>1.0</v>
      </c>
      <c r="P127" s="25">
        <v>1.0</v>
      </c>
      <c r="Q127" s="23">
        <v>0.0</v>
      </c>
      <c r="R127" s="24">
        <v>0.0</v>
      </c>
      <c r="S127" s="25">
        <v>0.0</v>
      </c>
      <c r="T127" s="33" t="s">
        <v>21</v>
      </c>
      <c r="U127" s="27">
        <v>500.0</v>
      </c>
      <c r="V127" s="60">
        <v>2500.0</v>
      </c>
    </row>
    <row r="128">
      <c r="A128" s="50" t="s">
        <v>145</v>
      </c>
      <c r="B128" s="50">
        <v>9.546868583E9</v>
      </c>
      <c r="C128" s="31" t="s">
        <v>145</v>
      </c>
      <c r="D128" s="32">
        <v>27.0</v>
      </c>
      <c r="E128" s="23">
        <v>0.0</v>
      </c>
      <c r="F128" s="24">
        <v>0.0</v>
      </c>
      <c r="G128" s="25">
        <v>0.0</v>
      </c>
      <c r="H128" s="23">
        <v>1.0</v>
      </c>
      <c r="I128" s="24">
        <v>1.0</v>
      </c>
      <c r="J128" s="25">
        <v>1.0</v>
      </c>
      <c r="K128" s="23">
        <v>1.0</v>
      </c>
      <c r="L128" s="24">
        <v>1.0</v>
      </c>
      <c r="M128" s="25">
        <v>1.0</v>
      </c>
      <c r="N128" s="23">
        <v>1.0</v>
      </c>
      <c r="O128" s="24">
        <v>1.0</v>
      </c>
      <c r="P128" s="25">
        <v>1.0</v>
      </c>
      <c r="Q128" s="23">
        <v>1.0</v>
      </c>
      <c r="R128" s="24">
        <v>1.0</v>
      </c>
      <c r="S128" s="25">
        <v>1.0</v>
      </c>
      <c r="T128" s="33" t="s">
        <v>21</v>
      </c>
      <c r="U128" s="27">
        <v>1000.0</v>
      </c>
      <c r="V128" s="28">
        <f t="shared" ref="V128:V129" si="9">IF(T128="AC",6500,5500)</f>
        <v>5500</v>
      </c>
    </row>
    <row r="129">
      <c r="A129" s="30"/>
      <c r="B129" s="30"/>
      <c r="C129" s="31" t="s">
        <v>146</v>
      </c>
      <c r="D129" s="32">
        <v>27.0</v>
      </c>
      <c r="E129" s="23">
        <v>0.0</v>
      </c>
      <c r="F129" s="24">
        <v>0.0</v>
      </c>
      <c r="G129" s="25">
        <v>0.0</v>
      </c>
      <c r="H129" s="23">
        <v>1.0</v>
      </c>
      <c r="I129" s="24">
        <v>1.0</v>
      </c>
      <c r="J129" s="25">
        <v>1.0</v>
      </c>
      <c r="K129" s="23">
        <v>1.0</v>
      </c>
      <c r="L129" s="24">
        <v>1.0</v>
      </c>
      <c r="M129" s="25">
        <v>1.0</v>
      </c>
      <c r="N129" s="23">
        <v>1.0</v>
      </c>
      <c r="O129" s="24">
        <v>1.0</v>
      </c>
      <c r="P129" s="25">
        <v>1.0</v>
      </c>
      <c r="Q129" s="23">
        <v>1.0</v>
      </c>
      <c r="R129" s="24">
        <v>1.0</v>
      </c>
      <c r="S129" s="25">
        <v>1.0</v>
      </c>
      <c r="T129" s="33" t="s">
        <v>21</v>
      </c>
      <c r="U129" s="27">
        <v>1000.0</v>
      </c>
      <c r="V129" s="28">
        <f t="shared" si="9"/>
        <v>5500</v>
      </c>
    </row>
    <row r="130">
      <c r="A130" s="30"/>
      <c r="B130" s="30"/>
      <c r="C130" s="31" t="s">
        <v>147</v>
      </c>
      <c r="D130" s="32">
        <v>6.0</v>
      </c>
      <c r="E130" s="23">
        <v>0.0</v>
      </c>
      <c r="F130" s="24">
        <v>0.0</v>
      </c>
      <c r="G130" s="25">
        <v>0.0</v>
      </c>
      <c r="H130" s="23">
        <v>1.0</v>
      </c>
      <c r="I130" s="24">
        <v>1.0</v>
      </c>
      <c r="J130" s="25">
        <v>1.0</v>
      </c>
      <c r="K130" s="23">
        <v>1.0</v>
      </c>
      <c r="L130" s="24">
        <v>1.0</v>
      </c>
      <c r="M130" s="25">
        <v>1.0</v>
      </c>
      <c r="N130" s="23">
        <v>1.0</v>
      </c>
      <c r="O130" s="24">
        <v>1.0</v>
      </c>
      <c r="P130" s="25">
        <v>1.0</v>
      </c>
      <c r="Q130" s="23">
        <v>1.0</v>
      </c>
      <c r="R130" s="24">
        <v>1.0</v>
      </c>
      <c r="S130" s="25">
        <v>1.0</v>
      </c>
      <c r="T130" s="33" t="s">
        <v>21</v>
      </c>
      <c r="U130" s="27">
        <v>0.0</v>
      </c>
      <c r="V130" s="39">
        <v>0.0</v>
      </c>
    </row>
    <row r="131">
      <c r="A131" s="51"/>
      <c r="B131" s="51"/>
      <c r="C131" s="31" t="s">
        <v>148</v>
      </c>
      <c r="D131" s="32">
        <v>4.0</v>
      </c>
      <c r="E131" s="23">
        <v>0.0</v>
      </c>
      <c r="F131" s="24">
        <v>0.0</v>
      </c>
      <c r="G131" s="25">
        <v>0.0</v>
      </c>
      <c r="H131" s="23">
        <v>1.0</v>
      </c>
      <c r="I131" s="24">
        <v>1.0</v>
      </c>
      <c r="J131" s="25">
        <v>1.0</v>
      </c>
      <c r="K131" s="23">
        <v>1.0</v>
      </c>
      <c r="L131" s="24">
        <v>1.0</v>
      </c>
      <c r="M131" s="25">
        <v>1.0</v>
      </c>
      <c r="N131" s="23">
        <v>1.0</v>
      </c>
      <c r="O131" s="24">
        <v>1.0</v>
      </c>
      <c r="P131" s="25">
        <v>1.0</v>
      </c>
      <c r="Q131" s="23">
        <v>1.0</v>
      </c>
      <c r="R131" s="24">
        <v>1.0</v>
      </c>
      <c r="S131" s="25">
        <v>1.0</v>
      </c>
      <c r="T131" s="33" t="s">
        <v>21</v>
      </c>
      <c r="U131" s="27">
        <v>0.0</v>
      </c>
      <c r="V131" s="39">
        <v>0.0</v>
      </c>
    </row>
    <row r="132">
      <c r="A132" s="50" t="s">
        <v>149</v>
      </c>
      <c r="B132" s="50">
        <v>9.849847681E9</v>
      </c>
      <c r="C132" s="31" t="s">
        <v>149</v>
      </c>
      <c r="D132" s="32">
        <v>25.0</v>
      </c>
      <c r="E132" s="23">
        <v>0.0</v>
      </c>
      <c r="F132" s="24">
        <v>0.0</v>
      </c>
      <c r="G132" s="25">
        <v>0.0</v>
      </c>
      <c r="H132" s="23">
        <v>1.0</v>
      </c>
      <c r="I132" s="24">
        <v>1.0</v>
      </c>
      <c r="J132" s="25">
        <v>1.0</v>
      </c>
      <c r="K132" s="23">
        <v>1.0</v>
      </c>
      <c r="L132" s="24">
        <v>1.0</v>
      </c>
      <c r="M132" s="25">
        <v>1.0</v>
      </c>
      <c r="N132" s="23">
        <v>1.0</v>
      </c>
      <c r="O132" s="24">
        <v>1.0</v>
      </c>
      <c r="P132" s="25">
        <v>1.0</v>
      </c>
      <c r="Q132" s="23">
        <v>1.0</v>
      </c>
      <c r="R132" s="24">
        <v>1.0</v>
      </c>
      <c r="S132" s="25">
        <v>1.0</v>
      </c>
      <c r="T132" s="33" t="s">
        <v>17</v>
      </c>
      <c r="U132" s="27">
        <v>1000.0</v>
      </c>
      <c r="V132" s="28">
        <f t="shared" ref="V132:V139" si="10">IF(T132="AC",6500,5500)</f>
        <v>6500</v>
      </c>
    </row>
    <row r="133">
      <c r="A133" s="30"/>
      <c r="B133" s="30"/>
      <c r="C133" s="31" t="s">
        <v>150</v>
      </c>
      <c r="D133" s="32">
        <v>26.0</v>
      </c>
      <c r="E133" s="23">
        <v>0.0</v>
      </c>
      <c r="F133" s="24">
        <v>0.0</v>
      </c>
      <c r="G133" s="25">
        <v>0.0</v>
      </c>
      <c r="H133" s="23">
        <v>1.0</v>
      </c>
      <c r="I133" s="24">
        <v>1.0</v>
      </c>
      <c r="J133" s="25">
        <v>1.0</v>
      </c>
      <c r="K133" s="23">
        <v>1.0</v>
      </c>
      <c r="L133" s="24">
        <v>1.0</v>
      </c>
      <c r="M133" s="25">
        <v>1.0</v>
      </c>
      <c r="N133" s="23">
        <v>1.0</v>
      </c>
      <c r="O133" s="24">
        <v>1.0</v>
      </c>
      <c r="P133" s="25">
        <v>1.0</v>
      </c>
      <c r="Q133" s="23">
        <v>1.0</v>
      </c>
      <c r="R133" s="24">
        <v>1.0</v>
      </c>
      <c r="S133" s="25">
        <v>1.0</v>
      </c>
      <c r="T133" s="33" t="s">
        <v>17</v>
      </c>
      <c r="U133" s="27">
        <v>1000.0</v>
      </c>
      <c r="V133" s="28">
        <f t="shared" si="10"/>
        <v>6500</v>
      </c>
    </row>
    <row r="134">
      <c r="A134" s="30"/>
      <c r="B134" s="30"/>
      <c r="C134" s="31" t="s">
        <v>151</v>
      </c>
      <c r="D134" s="32">
        <v>26.0</v>
      </c>
      <c r="E134" s="23">
        <v>0.0</v>
      </c>
      <c r="F134" s="24">
        <v>0.0</v>
      </c>
      <c r="G134" s="25">
        <v>0.0</v>
      </c>
      <c r="H134" s="23">
        <v>1.0</v>
      </c>
      <c r="I134" s="24">
        <v>1.0</v>
      </c>
      <c r="J134" s="25">
        <v>1.0</v>
      </c>
      <c r="K134" s="23">
        <v>1.0</v>
      </c>
      <c r="L134" s="24">
        <v>1.0</v>
      </c>
      <c r="M134" s="25">
        <v>1.0</v>
      </c>
      <c r="N134" s="23">
        <v>1.0</v>
      </c>
      <c r="O134" s="24">
        <v>1.0</v>
      </c>
      <c r="P134" s="25">
        <v>1.0</v>
      </c>
      <c r="Q134" s="23">
        <v>1.0</v>
      </c>
      <c r="R134" s="24">
        <v>1.0</v>
      </c>
      <c r="S134" s="25">
        <v>1.0</v>
      </c>
      <c r="T134" s="33" t="s">
        <v>17</v>
      </c>
      <c r="U134" s="27">
        <v>1000.0</v>
      </c>
      <c r="V134" s="28">
        <f t="shared" si="10"/>
        <v>6500</v>
      </c>
    </row>
    <row r="135">
      <c r="A135" s="30"/>
      <c r="B135" s="30"/>
      <c r="C135" s="31" t="s">
        <v>152</v>
      </c>
      <c r="D135" s="32">
        <v>22.0</v>
      </c>
      <c r="E135" s="23">
        <v>0.0</v>
      </c>
      <c r="F135" s="24">
        <v>0.0</v>
      </c>
      <c r="G135" s="25">
        <v>0.0</v>
      </c>
      <c r="H135" s="23">
        <v>1.0</v>
      </c>
      <c r="I135" s="24">
        <v>1.0</v>
      </c>
      <c r="J135" s="25">
        <v>1.0</v>
      </c>
      <c r="K135" s="23">
        <v>1.0</v>
      </c>
      <c r="L135" s="24">
        <v>1.0</v>
      </c>
      <c r="M135" s="25">
        <v>1.0</v>
      </c>
      <c r="N135" s="23">
        <v>1.0</v>
      </c>
      <c r="O135" s="24">
        <v>1.0</v>
      </c>
      <c r="P135" s="25">
        <v>1.0</v>
      </c>
      <c r="Q135" s="23">
        <v>1.0</v>
      </c>
      <c r="R135" s="24">
        <v>1.0</v>
      </c>
      <c r="S135" s="25">
        <v>1.0</v>
      </c>
      <c r="T135" s="33" t="s">
        <v>17</v>
      </c>
      <c r="U135" s="27">
        <v>1000.0</v>
      </c>
      <c r="V135" s="28">
        <f t="shared" si="10"/>
        <v>6500</v>
      </c>
    </row>
    <row r="136">
      <c r="A136" s="30"/>
      <c r="B136" s="30"/>
      <c r="C136" s="31" t="s">
        <v>153</v>
      </c>
      <c r="D136" s="32">
        <v>25.0</v>
      </c>
      <c r="E136" s="23">
        <v>0.0</v>
      </c>
      <c r="F136" s="24">
        <v>0.0</v>
      </c>
      <c r="G136" s="25">
        <v>0.0</v>
      </c>
      <c r="H136" s="23">
        <v>1.0</v>
      </c>
      <c r="I136" s="24">
        <v>1.0</v>
      </c>
      <c r="J136" s="25">
        <v>1.0</v>
      </c>
      <c r="K136" s="23">
        <v>1.0</v>
      </c>
      <c r="L136" s="24">
        <v>1.0</v>
      </c>
      <c r="M136" s="25">
        <v>1.0</v>
      </c>
      <c r="N136" s="23">
        <v>1.0</v>
      </c>
      <c r="O136" s="24">
        <v>1.0</v>
      </c>
      <c r="P136" s="25">
        <v>1.0</v>
      </c>
      <c r="Q136" s="23">
        <v>1.0</v>
      </c>
      <c r="R136" s="24">
        <v>1.0</v>
      </c>
      <c r="S136" s="25">
        <v>1.0</v>
      </c>
      <c r="T136" s="33" t="s">
        <v>17</v>
      </c>
      <c r="U136" s="27">
        <v>1000.0</v>
      </c>
      <c r="V136" s="28">
        <f t="shared" si="10"/>
        <v>6500</v>
      </c>
    </row>
    <row r="137">
      <c r="A137" s="30"/>
      <c r="B137" s="30"/>
      <c r="C137" s="31" t="s">
        <v>154</v>
      </c>
      <c r="D137" s="32">
        <v>62.0</v>
      </c>
      <c r="E137" s="23">
        <v>0.0</v>
      </c>
      <c r="F137" s="24">
        <v>0.0</v>
      </c>
      <c r="G137" s="25">
        <v>0.0</v>
      </c>
      <c r="H137" s="23">
        <v>1.0</v>
      </c>
      <c r="I137" s="24">
        <v>1.0</v>
      </c>
      <c r="J137" s="25">
        <v>1.0</v>
      </c>
      <c r="K137" s="23">
        <v>1.0</v>
      </c>
      <c r="L137" s="24">
        <v>1.0</v>
      </c>
      <c r="M137" s="25">
        <v>1.0</v>
      </c>
      <c r="N137" s="23">
        <v>1.0</v>
      </c>
      <c r="O137" s="24">
        <v>1.0</v>
      </c>
      <c r="P137" s="25">
        <v>1.0</v>
      </c>
      <c r="Q137" s="23">
        <v>1.0</v>
      </c>
      <c r="R137" s="24">
        <v>1.0</v>
      </c>
      <c r="S137" s="25">
        <v>1.0</v>
      </c>
      <c r="T137" s="33" t="s">
        <v>17</v>
      </c>
      <c r="U137" s="27">
        <v>1000.0</v>
      </c>
      <c r="V137" s="28">
        <f t="shared" si="10"/>
        <v>6500</v>
      </c>
    </row>
    <row r="138">
      <c r="A138" s="51"/>
      <c r="B138" s="51"/>
      <c r="C138" s="31" t="s">
        <v>155</v>
      </c>
      <c r="D138" s="32">
        <v>55.0</v>
      </c>
      <c r="E138" s="23">
        <v>0.0</v>
      </c>
      <c r="F138" s="24">
        <v>0.0</v>
      </c>
      <c r="G138" s="25">
        <v>0.0</v>
      </c>
      <c r="H138" s="23">
        <v>1.0</v>
      </c>
      <c r="I138" s="24">
        <v>1.0</v>
      </c>
      <c r="J138" s="25">
        <v>1.0</v>
      </c>
      <c r="K138" s="23">
        <v>1.0</v>
      </c>
      <c r="L138" s="24">
        <v>1.0</v>
      </c>
      <c r="M138" s="25">
        <v>1.0</v>
      </c>
      <c r="N138" s="23">
        <v>1.0</v>
      </c>
      <c r="O138" s="24">
        <v>1.0</v>
      </c>
      <c r="P138" s="25">
        <v>1.0</v>
      </c>
      <c r="Q138" s="23">
        <v>1.0</v>
      </c>
      <c r="R138" s="24">
        <v>1.0</v>
      </c>
      <c r="S138" s="25">
        <v>1.0</v>
      </c>
      <c r="T138" s="33" t="s">
        <v>17</v>
      </c>
      <c r="U138" s="27">
        <v>1000.0</v>
      </c>
      <c r="V138" s="28">
        <f t="shared" si="10"/>
        <v>6500</v>
      </c>
    </row>
    <row r="139">
      <c r="A139" s="50" t="s">
        <v>156</v>
      </c>
      <c r="B139" s="50">
        <v>8.688792726E9</v>
      </c>
      <c r="C139" s="31" t="s">
        <v>156</v>
      </c>
      <c r="D139" s="32">
        <v>29.0</v>
      </c>
      <c r="E139" s="23">
        <v>0.0</v>
      </c>
      <c r="F139" s="24">
        <v>0.0</v>
      </c>
      <c r="G139" s="25">
        <v>0.0</v>
      </c>
      <c r="H139" s="23">
        <v>1.0</v>
      </c>
      <c r="I139" s="24">
        <v>1.0</v>
      </c>
      <c r="J139" s="25">
        <v>1.0</v>
      </c>
      <c r="K139" s="23">
        <v>1.0</v>
      </c>
      <c r="L139" s="24">
        <v>1.0</v>
      </c>
      <c r="M139" s="25">
        <v>1.0</v>
      </c>
      <c r="N139" s="23">
        <v>1.0</v>
      </c>
      <c r="O139" s="24">
        <v>1.0</v>
      </c>
      <c r="P139" s="25">
        <v>1.0</v>
      </c>
      <c r="Q139" s="23">
        <v>1.0</v>
      </c>
      <c r="R139" s="24">
        <v>1.0</v>
      </c>
      <c r="S139" s="25">
        <v>1.0</v>
      </c>
      <c r="T139" s="33" t="s">
        <v>17</v>
      </c>
      <c r="U139" s="56"/>
      <c r="V139" s="28">
        <f t="shared" si="10"/>
        <v>6500</v>
      </c>
    </row>
    <row r="140">
      <c r="A140" s="51"/>
      <c r="B140" s="51"/>
      <c r="C140" s="31" t="s">
        <v>157</v>
      </c>
      <c r="D140" s="32">
        <v>5.0</v>
      </c>
      <c r="E140" s="23">
        <v>0.0</v>
      </c>
      <c r="F140" s="24">
        <v>0.0</v>
      </c>
      <c r="G140" s="25">
        <v>0.0</v>
      </c>
      <c r="H140" s="23">
        <v>1.0</v>
      </c>
      <c r="I140" s="24">
        <v>1.0</v>
      </c>
      <c r="J140" s="25">
        <v>1.0</v>
      </c>
      <c r="K140" s="23">
        <v>1.0</v>
      </c>
      <c r="L140" s="24">
        <v>1.0</v>
      </c>
      <c r="M140" s="25">
        <v>1.0</v>
      </c>
      <c r="N140" s="23">
        <v>1.0</v>
      </c>
      <c r="O140" s="24">
        <v>1.0</v>
      </c>
      <c r="P140" s="25">
        <v>1.0</v>
      </c>
      <c r="Q140" s="23">
        <v>1.0</v>
      </c>
      <c r="R140" s="24">
        <v>1.0</v>
      </c>
      <c r="S140" s="25">
        <v>1.0</v>
      </c>
      <c r="T140" s="33" t="s">
        <v>17</v>
      </c>
      <c r="U140" s="56"/>
      <c r="V140" s="39">
        <v>0.0</v>
      </c>
    </row>
    <row r="141">
      <c r="A141" s="61" t="s">
        <v>158</v>
      </c>
      <c r="B141" s="61">
        <v>9.4811486E9</v>
      </c>
      <c r="C141" s="62" t="s">
        <v>158</v>
      </c>
      <c r="D141" s="63">
        <v>43.0</v>
      </c>
      <c r="E141" s="23">
        <v>0.0</v>
      </c>
      <c r="F141" s="24">
        <v>0.0</v>
      </c>
      <c r="G141" s="25">
        <v>0.0</v>
      </c>
      <c r="H141" s="23">
        <v>0.0</v>
      </c>
      <c r="I141" s="24">
        <v>0.0</v>
      </c>
      <c r="J141" s="25">
        <v>0.0</v>
      </c>
      <c r="K141" s="23">
        <v>0.0</v>
      </c>
      <c r="L141" s="24">
        <v>0.0</v>
      </c>
      <c r="M141" s="25">
        <v>0.0</v>
      </c>
      <c r="N141" s="23">
        <v>1.0</v>
      </c>
      <c r="O141" s="24">
        <v>1.0</v>
      </c>
      <c r="P141" s="25">
        <v>1.0</v>
      </c>
      <c r="Q141" s="23">
        <v>1.0</v>
      </c>
      <c r="R141" s="24">
        <v>1.0</v>
      </c>
      <c r="S141" s="25">
        <v>1.0</v>
      </c>
      <c r="T141" s="64" t="s">
        <v>17</v>
      </c>
      <c r="U141" s="56"/>
      <c r="V141" s="28"/>
    </row>
    <row r="142">
      <c r="A142" s="51"/>
      <c r="B142" s="51"/>
      <c r="C142" s="62" t="s">
        <v>159</v>
      </c>
      <c r="D142" s="63">
        <v>11.0</v>
      </c>
      <c r="E142" s="23">
        <v>0.0</v>
      </c>
      <c r="F142" s="24">
        <v>0.0</v>
      </c>
      <c r="G142" s="25">
        <v>0.0</v>
      </c>
      <c r="H142" s="23">
        <v>0.0</v>
      </c>
      <c r="I142" s="24">
        <v>0.0</v>
      </c>
      <c r="J142" s="25">
        <v>0.0</v>
      </c>
      <c r="K142" s="23">
        <v>0.0</v>
      </c>
      <c r="L142" s="24">
        <v>0.0</v>
      </c>
      <c r="M142" s="25">
        <v>0.0</v>
      </c>
      <c r="N142" s="23">
        <v>1.0</v>
      </c>
      <c r="O142" s="24">
        <v>1.0</v>
      </c>
      <c r="P142" s="25">
        <v>1.0</v>
      </c>
      <c r="Q142" s="23">
        <v>1.0</v>
      </c>
      <c r="R142" s="24">
        <v>1.0</v>
      </c>
      <c r="S142" s="25">
        <v>1.0</v>
      </c>
      <c r="T142" s="64" t="s">
        <v>17</v>
      </c>
      <c r="U142" s="56"/>
      <c r="V142" s="28"/>
    </row>
    <row r="143">
      <c r="A143" s="17" t="s">
        <v>160</v>
      </c>
      <c r="B143" s="17">
        <v>8.500139299E9</v>
      </c>
      <c r="C143" s="18" t="s">
        <v>160</v>
      </c>
      <c r="D143" s="19">
        <v>34.0</v>
      </c>
      <c r="E143" s="23">
        <v>0.0</v>
      </c>
      <c r="F143" s="24">
        <v>0.0</v>
      </c>
      <c r="G143" s="25">
        <v>0.0</v>
      </c>
      <c r="H143" s="23">
        <v>1.0</v>
      </c>
      <c r="I143" s="24">
        <v>1.0</v>
      </c>
      <c r="J143" s="25">
        <v>1.0</v>
      </c>
      <c r="K143" s="23">
        <v>1.0</v>
      </c>
      <c r="L143" s="24">
        <v>1.0</v>
      </c>
      <c r="M143" s="25">
        <v>1.0</v>
      </c>
      <c r="N143" s="23">
        <v>1.0</v>
      </c>
      <c r="O143" s="24">
        <v>1.0</v>
      </c>
      <c r="P143" s="25">
        <v>1.0</v>
      </c>
      <c r="Q143" s="23">
        <v>0.0</v>
      </c>
      <c r="R143" s="24">
        <v>0.0</v>
      </c>
      <c r="S143" s="25">
        <v>0.0</v>
      </c>
      <c r="T143" s="65" t="s">
        <v>17</v>
      </c>
      <c r="U143" s="27">
        <v>1000.0</v>
      </c>
      <c r="V143" s="28">
        <f t="shared" ref="V143:V144" si="11">IF(T143="AC",6500,5500)</f>
        <v>6500</v>
      </c>
    </row>
    <row r="144">
      <c r="A144" s="30"/>
      <c r="B144" s="30"/>
      <c r="C144" s="18" t="s">
        <v>161</v>
      </c>
      <c r="D144" s="66">
        <v>28.0</v>
      </c>
      <c r="E144" s="23">
        <v>0.0</v>
      </c>
      <c r="F144" s="24">
        <v>0.0</v>
      </c>
      <c r="G144" s="25">
        <v>0.0</v>
      </c>
      <c r="H144" s="23">
        <v>1.0</v>
      </c>
      <c r="I144" s="24">
        <v>1.0</v>
      </c>
      <c r="J144" s="25">
        <v>1.0</v>
      </c>
      <c r="K144" s="23">
        <v>1.0</v>
      </c>
      <c r="L144" s="24">
        <v>1.0</v>
      </c>
      <c r="M144" s="25">
        <v>1.0</v>
      </c>
      <c r="N144" s="23">
        <v>1.0</v>
      </c>
      <c r="O144" s="24">
        <v>1.0</v>
      </c>
      <c r="P144" s="25">
        <v>1.0</v>
      </c>
      <c r="Q144" s="23">
        <v>0.0</v>
      </c>
      <c r="R144" s="24">
        <v>0.0</v>
      </c>
      <c r="S144" s="25">
        <v>0.0</v>
      </c>
      <c r="T144" s="65" t="s">
        <v>17</v>
      </c>
      <c r="U144" s="27">
        <v>1000.0</v>
      </c>
      <c r="V144" s="28">
        <f t="shared" si="11"/>
        <v>6500</v>
      </c>
    </row>
    <row r="145">
      <c r="A145" s="30"/>
      <c r="B145" s="30"/>
      <c r="C145" s="31" t="s">
        <v>162</v>
      </c>
      <c r="D145" s="32">
        <v>3.0</v>
      </c>
      <c r="E145" s="23">
        <v>0.0</v>
      </c>
      <c r="F145" s="24">
        <v>0.0</v>
      </c>
      <c r="G145" s="25">
        <v>0.0</v>
      </c>
      <c r="H145" s="23">
        <v>1.0</v>
      </c>
      <c r="I145" s="24">
        <v>1.0</v>
      </c>
      <c r="J145" s="25">
        <v>1.0</v>
      </c>
      <c r="K145" s="23">
        <v>1.0</v>
      </c>
      <c r="L145" s="24">
        <v>1.0</v>
      </c>
      <c r="M145" s="25">
        <v>1.0</v>
      </c>
      <c r="N145" s="23">
        <v>1.0</v>
      </c>
      <c r="O145" s="24">
        <v>1.0</v>
      </c>
      <c r="P145" s="25">
        <v>1.0</v>
      </c>
      <c r="Q145" s="23">
        <v>0.0</v>
      </c>
      <c r="R145" s="24">
        <v>0.0</v>
      </c>
      <c r="S145" s="25">
        <v>0.0</v>
      </c>
      <c r="T145" s="33" t="s">
        <v>17</v>
      </c>
      <c r="U145" s="27">
        <v>0.0</v>
      </c>
      <c r="V145" s="39">
        <v>0.0</v>
      </c>
    </row>
    <row r="146">
      <c r="A146" s="30"/>
      <c r="B146" s="30"/>
      <c r="C146" s="31" t="s">
        <v>163</v>
      </c>
      <c r="D146" s="32">
        <v>16.0</v>
      </c>
      <c r="E146" s="23">
        <v>0.0</v>
      </c>
      <c r="F146" s="24">
        <v>0.0</v>
      </c>
      <c r="G146" s="25">
        <v>0.0</v>
      </c>
      <c r="H146" s="23">
        <v>1.0</v>
      </c>
      <c r="I146" s="24">
        <v>1.0</v>
      </c>
      <c r="J146" s="25">
        <v>1.0</v>
      </c>
      <c r="K146" s="23">
        <v>1.0</v>
      </c>
      <c r="L146" s="24">
        <v>1.0</v>
      </c>
      <c r="M146" s="25">
        <v>1.0</v>
      </c>
      <c r="N146" s="23">
        <v>1.0</v>
      </c>
      <c r="O146" s="24">
        <v>1.0</v>
      </c>
      <c r="P146" s="25">
        <v>1.0</v>
      </c>
      <c r="Q146" s="23">
        <v>0.0</v>
      </c>
      <c r="R146" s="24">
        <v>0.0</v>
      </c>
      <c r="S146" s="25">
        <v>0.0</v>
      </c>
      <c r="T146" s="33" t="s">
        <v>21</v>
      </c>
      <c r="U146" s="27">
        <v>500.0</v>
      </c>
      <c r="V146" s="39">
        <v>2500.0</v>
      </c>
    </row>
    <row r="147">
      <c r="A147" s="30"/>
      <c r="B147" s="30"/>
      <c r="C147" s="31" t="s">
        <v>164</v>
      </c>
      <c r="D147" s="32">
        <v>16.0</v>
      </c>
      <c r="E147" s="23">
        <v>0.0</v>
      </c>
      <c r="F147" s="24">
        <v>0.0</v>
      </c>
      <c r="G147" s="25">
        <v>0.0</v>
      </c>
      <c r="H147" s="23">
        <v>1.0</v>
      </c>
      <c r="I147" s="24">
        <v>1.0</v>
      </c>
      <c r="J147" s="25">
        <v>1.0</v>
      </c>
      <c r="K147" s="23">
        <v>1.0</v>
      </c>
      <c r="L147" s="24">
        <v>1.0</v>
      </c>
      <c r="M147" s="25">
        <v>1.0</v>
      </c>
      <c r="N147" s="23">
        <v>1.0</v>
      </c>
      <c r="O147" s="24">
        <v>1.0</v>
      </c>
      <c r="P147" s="25">
        <v>1.0</v>
      </c>
      <c r="Q147" s="23">
        <v>0.0</v>
      </c>
      <c r="R147" s="24">
        <v>0.0</v>
      </c>
      <c r="S147" s="25">
        <v>0.0</v>
      </c>
      <c r="T147" s="33" t="s">
        <v>21</v>
      </c>
      <c r="U147" s="27">
        <v>500.0</v>
      </c>
      <c r="V147" s="39">
        <v>2500.0</v>
      </c>
    </row>
    <row r="148">
      <c r="A148" s="30"/>
      <c r="B148" s="30"/>
      <c r="C148" s="31" t="s">
        <v>165</v>
      </c>
      <c r="D148" s="32">
        <v>54.0</v>
      </c>
      <c r="E148" s="23">
        <v>0.0</v>
      </c>
      <c r="F148" s="24">
        <v>0.0</v>
      </c>
      <c r="G148" s="25">
        <v>0.0</v>
      </c>
      <c r="H148" s="23">
        <v>1.0</v>
      </c>
      <c r="I148" s="24">
        <v>1.0</v>
      </c>
      <c r="J148" s="25">
        <v>1.0</v>
      </c>
      <c r="K148" s="23">
        <v>1.0</v>
      </c>
      <c r="L148" s="24">
        <v>1.0</v>
      </c>
      <c r="M148" s="25">
        <v>1.0</v>
      </c>
      <c r="N148" s="23">
        <v>1.0</v>
      </c>
      <c r="O148" s="24">
        <v>1.0</v>
      </c>
      <c r="P148" s="25">
        <v>1.0</v>
      </c>
      <c r="Q148" s="23">
        <v>1.0</v>
      </c>
      <c r="R148" s="24">
        <v>1.0</v>
      </c>
      <c r="S148" s="25">
        <v>1.0</v>
      </c>
      <c r="T148" s="33" t="s">
        <v>21</v>
      </c>
      <c r="U148" s="56"/>
      <c r="V148" s="28">
        <f t="shared" ref="V148:V149" si="12">IF(T148="AC",6500,5500)</f>
        <v>5500</v>
      </c>
    </row>
    <row r="149">
      <c r="A149" s="51"/>
      <c r="B149" s="51"/>
      <c r="C149" s="31" t="s">
        <v>166</v>
      </c>
      <c r="D149" s="32">
        <v>20.0</v>
      </c>
      <c r="E149" s="67">
        <v>0.0</v>
      </c>
      <c r="F149" s="68">
        <v>0.0</v>
      </c>
      <c r="G149" s="69">
        <v>0.0</v>
      </c>
      <c r="H149" s="67">
        <v>1.0</v>
      </c>
      <c r="I149" s="68">
        <v>1.0</v>
      </c>
      <c r="J149" s="69">
        <v>1.0</v>
      </c>
      <c r="K149" s="67">
        <v>1.0</v>
      </c>
      <c r="L149" s="68">
        <v>1.0</v>
      </c>
      <c r="M149" s="69">
        <v>1.0</v>
      </c>
      <c r="N149" s="67">
        <v>1.0</v>
      </c>
      <c r="O149" s="68">
        <v>1.0</v>
      </c>
      <c r="P149" s="69">
        <v>1.0</v>
      </c>
      <c r="Q149" s="67">
        <v>1.0</v>
      </c>
      <c r="R149" s="68">
        <v>1.0</v>
      </c>
      <c r="S149" s="69">
        <v>1.0</v>
      </c>
      <c r="T149" s="38" t="s">
        <v>21</v>
      </c>
      <c r="U149" s="70"/>
      <c r="V149" s="71">
        <f t="shared" si="12"/>
        <v>5500</v>
      </c>
    </row>
    <row r="150">
      <c r="E150" s="72">
        <f t="shared" ref="E150:S150" si="13">SUM(E3:E149)</f>
        <v>6</v>
      </c>
      <c r="F150" s="72">
        <f t="shared" si="13"/>
        <v>6</v>
      </c>
      <c r="G150" s="72">
        <f t="shared" si="13"/>
        <v>16</v>
      </c>
      <c r="H150" s="72">
        <f t="shared" si="13"/>
        <v>143</v>
      </c>
      <c r="I150" s="72">
        <f t="shared" si="13"/>
        <v>143</v>
      </c>
      <c r="J150" s="72">
        <f t="shared" si="13"/>
        <v>143</v>
      </c>
      <c r="K150" s="72">
        <f t="shared" si="13"/>
        <v>144</v>
      </c>
      <c r="L150" s="72">
        <f t="shared" si="13"/>
        <v>144</v>
      </c>
      <c r="M150" s="72">
        <f t="shared" si="13"/>
        <v>144</v>
      </c>
      <c r="N150" s="72">
        <f t="shared" si="13"/>
        <v>146</v>
      </c>
      <c r="O150" s="72">
        <f t="shared" si="13"/>
        <v>149</v>
      </c>
      <c r="P150" s="72">
        <f t="shared" si="13"/>
        <v>143</v>
      </c>
      <c r="Q150" s="72">
        <f t="shared" si="13"/>
        <v>120</v>
      </c>
      <c r="R150" s="72">
        <f t="shared" si="13"/>
        <v>119</v>
      </c>
      <c r="S150" s="72">
        <f t="shared" si="13"/>
        <v>119</v>
      </c>
      <c r="T150" s="73"/>
      <c r="U150" s="73"/>
    </row>
    <row r="151">
      <c r="T151" s="73"/>
      <c r="U151" s="73"/>
    </row>
    <row r="152">
      <c r="T152" s="73"/>
      <c r="U152" s="73"/>
    </row>
    <row r="153">
      <c r="T153" s="73"/>
      <c r="U153" s="73"/>
    </row>
    <row r="154">
      <c r="T154" s="73"/>
      <c r="U154" s="73"/>
    </row>
    <row r="155">
      <c r="T155" s="73"/>
      <c r="U155" s="73"/>
    </row>
    <row r="156">
      <c r="T156" s="73"/>
      <c r="U156" s="73"/>
    </row>
    <row r="157">
      <c r="T157" s="73"/>
      <c r="U157" s="73"/>
    </row>
    <row r="158">
      <c r="T158" s="73"/>
      <c r="U158" s="73"/>
    </row>
    <row r="159">
      <c r="T159" s="73"/>
      <c r="U159" s="73"/>
    </row>
    <row r="160">
      <c r="T160" s="73"/>
      <c r="U160" s="73"/>
    </row>
    <row r="161">
      <c r="T161" s="73"/>
      <c r="U161" s="73"/>
    </row>
    <row r="162">
      <c r="T162" s="73"/>
      <c r="U162" s="73"/>
    </row>
    <row r="163">
      <c r="T163" s="73"/>
      <c r="U163" s="73"/>
    </row>
    <row r="164">
      <c r="T164" s="73"/>
      <c r="U164" s="73"/>
    </row>
    <row r="165">
      <c r="T165" s="73"/>
      <c r="U165" s="73"/>
    </row>
    <row r="166">
      <c r="T166" s="73"/>
      <c r="U166" s="73"/>
    </row>
    <row r="167">
      <c r="T167" s="73"/>
      <c r="U167" s="73"/>
    </row>
    <row r="168">
      <c r="T168" s="73"/>
      <c r="U168" s="73"/>
    </row>
    <row r="169">
      <c r="T169" s="73"/>
      <c r="U169" s="73"/>
    </row>
    <row r="170">
      <c r="T170" s="73"/>
      <c r="U170" s="73"/>
    </row>
    <row r="171">
      <c r="T171" s="73"/>
      <c r="U171" s="73"/>
    </row>
    <row r="172">
      <c r="T172" s="73"/>
      <c r="U172" s="73"/>
    </row>
    <row r="173">
      <c r="T173" s="73"/>
      <c r="U173" s="73"/>
    </row>
    <row r="174">
      <c r="T174" s="73"/>
      <c r="U174" s="73"/>
    </row>
    <row r="175">
      <c r="T175" s="73"/>
      <c r="U175" s="73"/>
    </row>
    <row r="176">
      <c r="T176" s="73"/>
      <c r="U176" s="73"/>
    </row>
    <row r="177">
      <c r="T177" s="73"/>
      <c r="U177" s="73"/>
    </row>
    <row r="178">
      <c r="T178" s="73"/>
      <c r="U178" s="73"/>
    </row>
    <row r="179">
      <c r="T179" s="73"/>
      <c r="U179" s="73"/>
    </row>
    <row r="180">
      <c r="T180" s="73"/>
      <c r="U180" s="73"/>
    </row>
    <row r="181">
      <c r="T181" s="73"/>
      <c r="U181" s="73"/>
    </row>
    <row r="182">
      <c r="T182" s="73"/>
      <c r="U182" s="73"/>
    </row>
    <row r="183">
      <c r="T183" s="73"/>
      <c r="U183" s="73"/>
    </row>
    <row r="184">
      <c r="T184" s="73"/>
      <c r="U184" s="73"/>
    </row>
    <row r="185">
      <c r="T185" s="73"/>
      <c r="U185" s="73"/>
    </row>
    <row r="186">
      <c r="T186" s="73"/>
      <c r="U186" s="73"/>
    </row>
    <row r="187">
      <c r="T187" s="73"/>
      <c r="U187" s="73"/>
    </row>
    <row r="188">
      <c r="T188" s="73"/>
      <c r="U188" s="73"/>
    </row>
    <row r="189">
      <c r="T189" s="73"/>
      <c r="U189" s="73"/>
    </row>
    <row r="190">
      <c r="T190" s="73"/>
      <c r="U190" s="73"/>
    </row>
    <row r="191">
      <c r="T191" s="73"/>
      <c r="U191" s="73"/>
    </row>
    <row r="192">
      <c r="T192" s="73"/>
      <c r="U192" s="73"/>
    </row>
    <row r="193">
      <c r="T193" s="73"/>
      <c r="U193" s="73"/>
    </row>
    <row r="194">
      <c r="T194" s="73"/>
      <c r="U194" s="73"/>
    </row>
    <row r="195">
      <c r="T195" s="73"/>
      <c r="U195" s="73"/>
    </row>
    <row r="196">
      <c r="T196" s="73"/>
      <c r="U196" s="73"/>
    </row>
    <row r="197">
      <c r="T197" s="73"/>
      <c r="U197" s="73"/>
    </row>
    <row r="198">
      <c r="T198" s="73"/>
      <c r="U198" s="73"/>
    </row>
    <row r="199">
      <c r="T199" s="73"/>
      <c r="U199" s="73"/>
    </row>
    <row r="200">
      <c r="T200" s="73"/>
      <c r="U200" s="73"/>
    </row>
    <row r="201">
      <c r="T201" s="73"/>
      <c r="U201" s="73"/>
    </row>
    <row r="202">
      <c r="T202" s="73"/>
      <c r="U202" s="73"/>
    </row>
    <row r="203">
      <c r="T203" s="73"/>
      <c r="U203" s="73"/>
    </row>
    <row r="204">
      <c r="T204" s="73"/>
      <c r="U204" s="73"/>
    </row>
    <row r="205">
      <c r="T205" s="73"/>
      <c r="U205" s="73"/>
    </row>
    <row r="206">
      <c r="T206" s="73"/>
      <c r="U206" s="73"/>
    </row>
    <row r="207">
      <c r="T207" s="73"/>
      <c r="U207" s="73"/>
    </row>
    <row r="208">
      <c r="T208" s="73"/>
      <c r="U208" s="73"/>
    </row>
    <row r="209">
      <c r="T209" s="73"/>
      <c r="U209" s="73"/>
    </row>
    <row r="210">
      <c r="T210" s="73"/>
      <c r="U210" s="73"/>
    </row>
    <row r="211">
      <c r="T211" s="73"/>
      <c r="U211" s="73"/>
    </row>
    <row r="212">
      <c r="T212" s="73"/>
      <c r="U212" s="73"/>
    </row>
    <row r="213">
      <c r="T213" s="73"/>
      <c r="U213" s="73"/>
    </row>
    <row r="214">
      <c r="T214" s="73"/>
      <c r="U214" s="73"/>
    </row>
    <row r="215">
      <c r="T215" s="73"/>
      <c r="U215" s="73"/>
    </row>
    <row r="216">
      <c r="T216" s="73"/>
      <c r="U216" s="73"/>
    </row>
    <row r="217">
      <c r="T217" s="73"/>
      <c r="U217" s="73"/>
    </row>
    <row r="218">
      <c r="T218" s="73"/>
      <c r="U218" s="73"/>
    </row>
    <row r="219">
      <c r="T219" s="73"/>
      <c r="U219" s="73"/>
    </row>
    <row r="220">
      <c r="T220" s="73"/>
      <c r="U220" s="73"/>
    </row>
    <row r="221">
      <c r="T221" s="73"/>
      <c r="U221" s="73"/>
    </row>
    <row r="222">
      <c r="T222" s="73"/>
      <c r="U222" s="73"/>
    </row>
    <row r="223">
      <c r="T223" s="73"/>
      <c r="U223" s="73"/>
    </row>
    <row r="224">
      <c r="T224" s="73"/>
      <c r="U224" s="73"/>
    </row>
    <row r="225">
      <c r="T225" s="73"/>
      <c r="U225" s="73"/>
    </row>
    <row r="226">
      <c r="T226" s="73"/>
      <c r="U226" s="73"/>
    </row>
    <row r="227">
      <c r="T227" s="73"/>
      <c r="U227" s="73"/>
    </row>
    <row r="228">
      <c r="T228" s="73"/>
      <c r="U228" s="73"/>
    </row>
    <row r="229">
      <c r="T229" s="73"/>
      <c r="U229" s="73"/>
    </row>
    <row r="230">
      <c r="T230" s="73"/>
      <c r="U230" s="73"/>
    </row>
    <row r="231">
      <c r="T231" s="73"/>
      <c r="U231" s="73"/>
    </row>
    <row r="232">
      <c r="T232" s="73"/>
      <c r="U232" s="73"/>
    </row>
    <row r="233">
      <c r="T233" s="73"/>
      <c r="U233" s="73"/>
    </row>
    <row r="234">
      <c r="T234" s="73"/>
      <c r="U234" s="73"/>
    </row>
    <row r="235">
      <c r="T235" s="73"/>
      <c r="U235" s="73"/>
    </row>
    <row r="236">
      <c r="T236" s="73"/>
      <c r="U236" s="73"/>
    </row>
    <row r="237">
      <c r="T237" s="73"/>
      <c r="U237" s="73"/>
    </row>
    <row r="238">
      <c r="T238" s="73"/>
      <c r="U238" s="73"/>
    </row>
    <row r="239">
      <c r="T239" s="73"/>
      <c r="U239" s="73"/>
    </row>
    <row r="240">
      <c r="T240" s="73"/>
      <c r="U240" s="73"/>
    </row>
    <row r="241">
      <c r="T241" s="73"/>
      <c r="U241" s="73"/>
    </row>
    <row r="242">
      <c r="T242" s="73"/>
      <c r="U242" s="73"/>
    </row>
    <row r="243">
      <c r="T243" s="73"/>
      <c r="U243" s="73"/>
    </row>
    <row r="244">
      <c r="T244" s="73"/>
      <c r="U244" s="73"/>
    </row>
    <row r="245">
      <c r="T245" s="73"/>
      <c r="U245" s="73"/>
    </row>
    <row r="246">
      <c r="T246" s="73"/>
      <c r="U246" s="73"/>
    </row>
    <row r="247">
      <c r="T247" s="73"/>
      <c r="U247" s="73"/>
    </row>
    <row r="248">
      <c r="T248" s="73"/>
      <c r="U248" s="73"/>
    </row>
    <row r="249">
      <c r="T249" s="73"/>
      <c r="U249" s="73"/>
    </row>
    <row r="250">
      <c r="T250" s="73"/>
      <c r="U250" s="73"/>
    </row>
    <row r="251">
      <c r="T251" s="73"/>
      <c r="U251" s="73"/>
    </row>
    <row r="252">
      <c r="T252" s="73"/>
      <c r="U252" s="73"/>
    </row>
    <row r="253">
      <c r="T253" s="73"/>
      <c r="U253" s="73"/>
    </row>
    <row r="254">
      <c r="T254" s="73"/>
      <c r="U254" s="73"/>
    </row>
    <row r="255">
      <c r="T255" s="73"/>
      <c r="U255" s="73"/>
    </row>
    <row r="256">
      <c r="T256" s="73"/>
      <c r="U256" s="73"/>
    </row>
    <row r="257">
      <c r="T257" s="73"/>
      <c r="U257" s="73"/>
    </row>
    <row r="258">
      <c r="T258" s="73"/>
      <c r="U258" s="73"/>
    </row>
    <row r="259">
      <c r="T259" s="73"/>
      <c r="U259" s="73"/>
    </row>
    <row r="260">
      <c r="T260" s="73"/>
      <c r="U260" s="73"/>
    </row>
    <row r="261">
      <c r="T261" s="73"/>
      <c r="U261" s="73"/>
    </row>
    <row r="262">
      <c r="T262" s="73"/>
      <c r="U262" s="73"/>
    </row>
    <row r="263">
      <c r="T263" s="73"/>
      <c r="U263" s="73"/>
    </row>
    <row r="264">
      <c r="T264" s="73"/>
      <c r="U264" s="73"/>
    </row>
    <row r="265">
      <c r="T265" s="73"/>
      <c r="U265" s="73"/>
    </row>
    <row r="266">
      <c r="T266" s="73"/>
      <c r="U266" s="73"/>
    </row>
    <row r="267">
      <c r="T267" s="73"/>
      <c r="U267" s="73"/>
    </row>
    <row r="268">
      <c r="T268" s="73"/>
      <c r="U268" s="73"/>
    </row>
    <row r="269">
      <c r="T269" s="73"/>
      <c r="U269" s="73"/>
    </row>
    <row r="270">
      <c r="T270" s="73"/>
      <c r="U270" s="73"/>
    </row>
    <row r="271">
      <c r="T271" s="73"/>
      <c r="U271" s="73"/>
    </row>
    <row r="272">
      <c r="T272" s="73"/>
      <c r="U272" s="73"/>
    </row>
    <row r="273">
      <c r="T273" s="73"/>
      <c r="U273" s="73"/>
    </row>
    <row r="274">
      <c r="T274" s="73"/>
      <c r="U274" s="73"/>
    </row>
    <row r="275">
      <c r="T275" s="73"/>
      <c r="U275" s="73"/>
    </row>
    <row r="276">
      <c r="T276" s="73"/>
      <c r="U276" s="73"/>
    </row>
    <row r="277">
      <c r="T277" s="73"/>
      <c r="U277" s="73"/>
    </row>
    <row r="278">
      <c r="T278" s="73"/>
      <c r="U278" s="73"/>
    </row>
    <row r="279">
      <c r="T279" s="73"/>
      <c r="U279" s="73"/>
    </row>
    <row r="280">
      <c r="T280" s="73"/>
      <c r="U280" s="73"/>
    </row>
    <row r="281">
      <c r="T281" s="73"/>
      <c r="U281" s="73"/>
    </row>
    <row r="282">
      <c r="T282" s="73"/>
      <c r="U282" s="73"/>
    </row>
    <row r="283">
      <c r="T283" s="73"/>
      <c r="U283" s="73"/>
    </row>
    <row r="284">
      <c r="T284" s="73"/>
      <c r="U284" s="73"/>
    </row>
    <row r="285">
      <c r="T285" s="73"/>
      <c r="U285" s="73"/>
    </row>
    <row r="286">
      <c r="T286" s="73"/>
      <c r="U286" s="73"/>
    </row>
    <row r="287">
      <c r="T287" s="73"/>
      <c r="U287" s="73"/>
    </row>
    <row r="288">
      <c r="T288" s="73"/>
      <c r="U288" s="73"/>
    </row>
    <row r="289">
      <c r="T289" s="73"/>
      <c r="U289" s="73"/>
    </row>
    <row r="290">
      <c r="T290" s="73"/>
      <c r="U290" s="73"/>
    </row>
    <row r="291">
      <c r="T291" s="73"/>
      <c r="U291" s="73"/>
    </row>
    <row r="292">
      <c r="T292" s="73"/>
      <c r="U292" s="73"/>
    </row>
    <row r="293">
      <c r="T293" s="73"/>
      <c r="U293" s="73"/>
    </row>
    <row r="294">
      <c r="T294" s="73"/>
      <c r="U294" s="73"/>
    </row>
    <row r="295">
      <c r="T295" s="73"/>
      <c r="U295" s="73"/>
    </row>
    <row r="296">
      <c r="T296" s="73"/>
      <c r="U296" s="73"/>
    </row>
    <row r="297">
      <c r="T297" s="73"/>
      <c r="U297" s="73"/>
    </row>
    <row r="298">
      <c r="T298" s="73"/>
      <c r="U298" s="73"/>
    </row>
    <row r="299">
      <c r="T299" s="73"/>
      <c r="U299" s="73"/>
    </row>
    <row r="300">
      <c r="T300" s="73"/>
      <c r="U300" s="73"/>
    </row>
    <row r="301">
      <c r="T301" s="73"/>
      <c r="U301" s="73"/>
    </row>
    <row r="302">
      <c r="T302" s="73"/>
      <c r="U302" s="73"/>
    </row>
    <row r="303">
      <c r="T303" s="73"/>
      <c r="U303" s="73"/>
    </row>
    <row r="304">
      <c r="T304" s="73"/>
      <c r="U304" s="73"/>
    </row>
    <row r="305">
      <c r="T305" s="73"/>
      <c r="U305" s="73"/>
    </row>
    <row r="306">
      <c r="T306" s="73"/>
      <c r="U306" s="73"/>
    </row>
    <row r="307">
      <c r="T307" s="73"/>
      <c r="U307" s="73"/>
    </row>
    <row r="308">
      <c r="T308" s="73"/>
      <c r="U308" s="73"/>
    </row>
    <row r="309">
      <c r="T309" s="73"/>
      <c r="U309" s="73"/>
    </row>
    <row r="310">
      <c r="T310" s="73"/>
      <c r="U310" s="73"/>
    </row>
    <row r="311">
      <c r="T311" s="73"/>
      <c r="U311" s="73"/>
    </row>
    <row r="312">
      <c r="T312" s="73"/>
      <c r="U312" s="73"/>
    </row>
    <row r="313">
      <c r="T313" s="73"/>
      <c r="U313" s="73"/>
    </row>
    <row r="314">
      <c r="T314" s="73"/>
      <c r="U314" s="73"/>
    </row>
    <row r="315">
      <c r="T315" s="73"/>
      <c r="U315" s="73"/>
    </row>
    <row r="316">
      <c r="T316" s="73"/>
      <c r="U316" s="73"/>
    </row>
    <row r="317">
      <c r="T317" s="73"/>
      <c r="U317" s="73"/>
    </row>
    <row r="318">
      <c r="T318" s="73"/>
      <c r="U318" s="73"/>
    </row>
    <row r="319">
      <c r="T319" s="73"/>
      <c r="U319" s="73"/>
    </row>
    <row r="320">
      <c r="T320" s="73"/>
      <c r="U320" s="73"/>
    </row>
    <row r="321">
      <c r="T321" s="73"/>
      <c r="U321" s="73"/>
    </row>
    <row r="322">
      <c r="T322" s="73"/>
      <c r="U322" s="73"/>
    </row>
    <row r="323">
      <c r="T323" s="73"/>
      <c r="U323" s="73"/>
    </row>
    <row r="324">
      <c r="T324" s="73"/>
      <c r="U324" s="73"/>
    </row>
    <row r="325">
      <c r="T325" s="73"/>
      <c r="U325" s="73"/>
    </row>
    <row r="326">
      <c r="T326" s="73"/>
      <c r="U326" s="73"/>
    </row>
    <row r="327">
      <c r="T327" s="73"/>
      <c r="U327" s="73"/>
    </row>
    <row r="328">
      <c r="T328" s="73"/>
      <c r="U328" s="73"/>
    </row>
    <row r="329">
      <c r="T329" s="73"/>
      <c r="U329" s="73"/>
    </row>
    <row r="330">
      <c r="T330" s="73"/>
      <c r="U330" s="73"/>
    </row>
    <row r="331">
      <c r="T331" s="73"/>
      <c r="U331" s="73"/>
    </row>
    <row r="332">
      <c r="T332" s="73"/>
      <c r="U332" s="73"/>
    </row>
    <row r="333">
      <c r="T333" s="73"/>
      <c r="U333" s="73"/>
    </row>
    <row r="334">
      <c r="T334" s="73"/>
      <c r="U334" s="73"/>
    </row>
    <row r="335">
      <c r="T335" s="73"/>
      <c r="U335" s="73"/>
    </row>
    <row r="336">
      <c r="T336" s="73"/>
      <c r="U336" s="73"/>
    </row>
    <row r="337">
      <c r="T337" s="73"/>
      <c r="U337" s="73"/>
    </row>
    <row r="338">
      <c r="T338" s="73"/>
      <c r="U338" s="73"/>
    </row>
    <row r="339">
      <c r="T339" s="73"/>
      <c r="U339" s="73"/>
    </row>
    <row r="340">
      <c r="T340" s="73"/>
      <c r="U340" s="73"/>
    </row>
    <row r="341">
      <c r="T341" s="73"/>
      <c r="U341" s="73"/>
    </row>
    <row r="342">
      <c r="T342" s="73"/>
      <c r="U342" s="73"/>
    </row>
    <row r="343">
      <c r="T343" s="73"/>
      <c r="U343" s="73"/>
    </row>
    <row r="344">
      <c r="T344" s="73"/>
      <c r="U344" s="73"/>
    </row>
    <row r="345">
      <c r="T345" s="73"/>
      <c r="U345" s="73"/>
    </row>
    <row r="346">
      <c r="T346" s="73"/>
      <c r="U346" s="73"/>
    </row>
    <row r="347">
      <c r="T347" s="73"/>
      <c r="U347" s="73"/>
    </row>
    <row r="348">
      <c r="T348" s="73"/>
      <c r="U348" s="73"/>
    </row>
    <row r="349">
      <c r="T349" s="73"/>
      <c r="U349" s="73"/>
    </row>
    <row r="350">
      <c r="T350" s="73"/>
      <c r="U350" s="73"/>
    </row>
    <row r="351">
      <c r="T351" s="73"/>
      <c r="U351" s="73"/>
    </row>
    <row r="352">
      <c r="T352" s="73"/>
      <c r="U352" s="73"/>
    </row>
    <row r="353">
      <c r="T353" s="73"/>
      <c r="U353" s="73"/>
    </row>
    <row r="354">
      <c r="T354" s="73"/>
      <c r="U354" s="73"/>
    </row>
    <row r="355">
      <c r="T355" s="73"/>
      <c r="U355" s="73"/>
    </row>
    <row r="356">
      <c r="T356" s="73"/>
      <c r="U356" s="73"/>
    </row>
    <row r="357">
      <c r="T357" s="73"/>
      <c r="U357" s="73"/>
    </row>
    <row r="358">
      <c r="T358" s="73"/>
      <c r="U358" s="73"/>
    </row>
    <row r="359">
      <c r="T359" s="73"/>
      <c r="U359" s="73"/>
    </row>
    <row r="360">
      <c r="T360" s="73"/>
      <c r="U360" s="73"/>
    </row>
    <row r="361">
      <c r="T361" s="73"/>
      <c r="U361" s="73"/>
    </row>
    <row r="362">
      <c r="T362" s="73"/>
      <c r="U362" s="73"/>
    </row>
    <row r="363">
      <c r="T363" s="73"/>
      <c r="U363" s="73"/>
    </row>
    <row r="364">
      <c r="T364" s="73"/>
      <c r="U364" s="73"/>
    </row>
    <row r="365">
      <c r="T365" s="73"/>
      <c r="U365" s="73"/>
    </row>
    <row r="366">
      <c r="T366" s="73"/>
      <c r="U366" s="73"/>
    </row>
    <row r="367">
      <c r="T367" s="73"/>
      <c r="U367" s="73"/>
    </row>
    <row r="368">
      <c r="T368" s="73"/>
      <c r="U368" s="73"/>
    </row>
    <row r="369">
      <c r="T369" s="73"/>
      <c r="U369" s="73"/>
    </row>
    <row r="370">
      <c r="T370" s="73"/>
      <c r="U370" s="73"/>
    </row>
    <row r="371">
      <c r="T371" s="73"/>
      <c r="U371" s="73"/>
    </row>
    <row r="372">
      <c r="T372" s="73"/>
      <c r="U372" s="73"/>
    </row>
    <row r="373">
      <c r="T373" s="73"/>
      <c r="U373" s="73"/>
    </row>
    <row r="374">
      <c r="T374" s="73"/>
      <c r="U374" s="73"/>
    </row>
    <row r="375">
      <c r="T375" s="73"/>
      <c r="U375" s="73"/>
    </row>
    <row r="376">
      <c r="T376" s="73"/>
      <c r="U376" s="73"/>
    </row>
    <row r="377">
      <c r="T377" s="73"/>
      <c r="U377" s="73"/>
    </row>
    <row r="378">
      <c r="T378" s="73"/>
      <c r="U378" s="73"/>
    </row>
    <row r="379">
      <c r="T379" s="73"/>
      <c r="U379" s="73"/>
    </row>
    <row r="380">
      <c r="T380" s="73"/>
      <c r="U380" s="73"/>
    </row>
    <row r="381">
      <c r="T381" s="73"/>
      <c r="U381" s="73"/>
    </row>
    <row r="382">
      <c r="T382" s="73"/>
      <c r="U382" s="73"/>
    </row>
    <row r="383">
      <c r="T383" s="73"/>
      <c r="U383" s="73"/>
    </row>
    <row r="384">
      <c r="T384" s="73"/>
      <c r="U384" s="73"/>
    </row>
    <row r="385">
      <c r="T385" s="73"/>
      <c r="U385" s="73"/>
    </row>
    <row r="386">
      <c r="T386" s="73"/>
      <c r="U386" s="73"/>
    </row>
    <row r="387">
      <c r="T387" s="73"/>
      <c r="U387" s="73"/>
    </row>
    <row r="388">
      <c r="T388" s="73"/>
      <c r="U388" s="73"/>
    </row>
    <row r="389">
      <c r="T389" s="73"/>
      <c r="U389" s="73"/>
    </row>
    <row r="390">
      <c r="T390" s="73"/>
      <c r="U390" s="73"/>
    </row>
    <row r="391">
      <c r="T391" s="73"/>
      <c r="U391" s="73"/>
    </row>
    <row r="392">
      <c r="T392" s="73"/>
      <c r="U392" s="73"/>
    </row>
    <row r="393">
      <c r="T393" s="73"/>
      <c r="U393" s="73"/>
    </row>
    <row r="394">
      <c r="T394" s="73"/>
      <c r="U394" s="73"/>
    </row>
    <row r="395">
      <c r="T395" s="73"/>
      <c r="U395" s="73"/>
    </row>
    <row r="396">
      <c r="T396" s="73"/>
      <c r="U396" s="73"/>
    </row>
    <row r="397">
      <c r="T397" s="73"/>
      <c r="U397" s="73"/>
    </row>
    <row r="398">
      <c r="T398" s="73"/>
      <c r="U398" s="73"/>
    </row>
    <row r="399">
      <c r="T399" s="73"/>
      <c r="U399" s="73"/>
    </row>
    <row r="400">
      <c r="T400" s="73"/>
      <c r="U400" s="73"/>
    </row>
    <row r="401">
      <c r="T401" s="73"/>
      <c r="U401" s="73"/>
    </row>
    <row r="402">
      <c r="T402" s="73"/>
      <c r="U402" s="73"/>
    </row>
    <row r="403">
      <c r="T403" s="73"/>
      <c r="U403" s="73"/>
    </row>
    <row r="404">
      <c r="T404" s="73"/>
      <c r="U404" s="73"/>
    </row>
    <row r="405">
      <c r="T405" s="73"/>
      <c r="U405" s="73"/>
    </row>
    <row r="406">
      <c r="T406" s="73"/>
      <c r="U406" s="73"/>
    </row>
    <row r="407">
      <c r="T407" s="73"/>
      <c r="U407" s="73"/>
    </row>
    <row r="408">
      <c r="T408" s="73"/>
      <c r="U408" s="73"/>
    </row>
    <row r="409">
      <c r="T409" s="73"/>
      <c r="U409" s="73"/>
    </row>
    <row r="410">
      <c r="T410" s="73"/>
      <c r="U410" s="73"/>
    </row>
    <row r="411">
      <c r="T411" s="73"/>
      <c r="U411" s="73"/>
    </row>
    <row r="412">
      <c r="T412" s="73"/>
      <c r="U412" s="73"/>
    </row>
    <row r="413">
      <c r="T413" s="73"/>
      <c r="U413" s="73"/>
    </row>
    <row r="414">
      <c r="T414" s="73"/>
      <c r="U414" s="73"/>
    </row>
    <row r="415">
      <c r="T415" s="73"/>
      <c r="U415" s="73"/>
    </row>
    <row r="416">
      <c r="T416" s="73"/>
      <c r="U416" s="73"/>
    </row>
    <row r="417">
      <c r="T417" s="73"/>
      <c r="U417" s="73"/>
    </row>
    <row r="418">
      <c r="T418" s="73"/>
      <c r="U418" s="73"/>
    </row>
    <row r="419">
      <c r="T419" s="73"/>
      <c r="U419" s="73"/>
    </row>
    <row r="420">
      <c r="T420" s="73"/>
      <c r="U420" s="73"/>
    </row>
    <row r="421">
      <c r="T421" s="73"/>
      <c r="U421" s="73"/>
    </row>
    <row r="422">
      <c r="T422" s="73"/>
      <c r="U422" s="73"/>
    </row>
    <row r="423">
      <c r="T423" s="73"/>
      <c r="U423" s="73"/>
    </row>
    <row r="424">
      <c r="T424" s="73"/>
      <c r="U424" s="73"/>
    </row>
    <row r="425">
      <c r="T425" s="73"/>
      <c r="U425" s="73"/>
    </row>
    <row r="426">
      <c r="T426" s="73"/>
      <c r="U426" s="73"/>
    </row>
    <row r="427">
      <c r="T427" s="73"/>
      <c r="U427" s="73"/>
    </row>
    <row r="428">
      <c r="T428" s="73"/>
      <c r="U428" s="73"/>
    </row>
    <row r="429">
      <c r="T429" s="73"/>
      <c r="U429" s="73"/>
    </row>
    <row r="430">
      <c r="T430" s="73"/>
      <c r="U430" s="73"/>
    </row>
    <row r="431">
      <c r="T431" s="73"/>
      <c r="U431" s="73"/>
    </row>
    <row r="432">
      <c r="T432" s="73"/>
      <c r="U432" s="73"/>
    </row>
    <row r="433">
      <c r="T433" s="73"/>
      <c r="U433" s="73"/>
    </row>
    <row r="434">
      <c r="T434" s="73"/>
      <c r="U434" s="73"/>
    </row>
    <row r="435">
      <c r="T435" s="73"/>
      <c r="U435" s="73"/>
    </row>
    <row r="436">
      <c r="T436" s="73"/>
      <c r="U436" s="73"/>
    </row>
    <row r="437">
      <c r="T437" s="73"/>
      <c r="U437" s="73"/>
    </row>
    <row r="438">
      <c r="T438" s="73"/>
      <c r="U438" s="73"/>
    </row>
    <row r="439">
      <c r="T439" s="73"/>
      <c r="U439" s="73"/>
    </row>
    <row r="440">
      <c r="T440" s="73"/>
      <c r="U440" s="73"/>
    </row>
    <row r="441">
      <c r="T441" s="73"/>
      <c r="U441" s="73"/>
    </row>
    <row r="442">
      <c r="T442" s="73"/>
      <c r="U442" s="73"/>
    </row>
    <row r="443">
      <c r="T443" s="73"/>
      <c r="U443" s="73"/>
    </row>
    <row r="444">
      <c r="T444" s="73"/>
      <c r="U444" s="73"/>
    </row>
    <row r="445">
      <c r="T445" s="73"/>
      <c r="U445" s="73"/>
    </row>
    <row r="446">
      <c r="T446" s="73"/>
      <c r="U446" s="73"/>
    </row>
    <row r="447">
      <c r="T447" s="73"/>
      <c r="U447" s="73"/>
    </row>
    <row r="448">
      <c r="T448" s="73"/>
      <c r="U448" s="73"/>
    </row>
    <row r="449">
      <c r="T449" s="73"/>
      <c r="U449" s="73"/>
    </row>
    <row r="450">
      <c r="T450" s="73"/>
      <c r="U450" s="73"/>
    </row>
    <row r="451">
      <c r="T451" s="73"/>
      <c r="U451" s="73"/>
    </row>
    <row r="452">
      <c r="T452" s="73"/>
      <c r="U452" s="73"/>
    </row>
    <row r="453">
      <c r="T453" s="73"/>
      <c r="U453" s="73"/>
    </row>
    <row r="454">
      <c r="T454" s="73"/>
      <c r="U454" s="73"/>
    </row>
    <row r="455">
      <c r="T455" s="73"/>
      <c r="U455" s="73"/>
    </row>
    <row r="456">
      <c r="T456" s="73"/>
      <c r="U456" s="73"/>
    </row>
    <row r="457">
      <c r="T457" s="73"/>
      <c r="U457" s="73"/>
    </row>
    <row r="458">
      <c r="T458" s="73"/>
      <c r="U458" s="73"/>
    </row>
    <row r="459">
      <c r="T459" s="73"/>
      <c r="U459" s="73"/>
    </row>
    <row r="460">
      <c r="T460" s="73"/>
      <c r="U460" s="73"/>
    </row>
    <row r="461">
      <c r="T461" s="73"/>
      <c r="U461" s="73"/>
    </row>
    <row r="462">
      <c r="T462" s="73"/>
      <c r="U462" s="73"/>
    </row>
    <row r="463">
      <c r="T463" s="73"/>
      <c r="U463" s="73"/>
    </row>
    <row r="464">
      <c r="T464" s="73"/>
      <c r="U464" s="73"/>
    </row>
    <row r="465">
      <c r="T465" s="73"/>
      <c r="U465" s="73"/>
    </row>
    <row r="466">
      <c r="T466" s="73"/>
      <c r="U466" s="73"/>
    </row>
    <row r="467">
      <c r="T467" s="73"/>
      <c r="U467" s="73"/>
    </row>
    <row r="468">
      <c r="T468" s="73"/>
      <c r="U468" s="73"/>
    </row>
    <row r="469">
      <c r="T469" s="73"/>
      <c r="U469" s="73"/>
    </row>
    <row r="470">
      <c r="T470" s="73"/>
      <c r="U470" s="73"/>
    </row>
    <row r="471">
      <c r="T471" s="73"/>
      <c r="U471" s="73"/>
    </row>
    <row r="472">
      <c r="T472" s="73"/>
      <c r="U472" s="73"/>
    </row>
    <row r="473">
      <c r="T473" s="73"/>
      <c r="U473" s="73"/>
    </row>
    <row r="474">
      <c r="T474" s="73"/>
      <c r="U474" s="73"/>
    </row>
    <row r="475">
      <c r="T475" s="73"/>
      <c r="U475" s="73"/>
    </row>
    <row r="476">
      <c r="T476" s="73"/>
      <c r="U476" s="73"/>
    </row>
    <row r="477">
      <c r="T477" s="73"/>
      <c r="U477" s="73"/>
    </row>
    <row r="478">
      <c r="T478" s="73"/>
      <c r="U478" s="73"/>
    </row>
    <row r="479">
      <c r="T479" s="73"/>
      <c r="U479" s="73"/>
    </row>
    <row r="480">
      <c r="T480" s="73"/>
      <c r="U480" s="73"/>
    </row>
    <row r="481">
      <c r="T481" s="73"/>
      <c r="U481" s="73"/>
    </row>
    <row r="482">
      <c r="T482" s="73"/>
      <c r="U482" s="73"/>
    </row>
    <row r="483">
      <c r="T483" s="73"/>
      <c r="U483" s="73"/>
    </row>
    <row r="484">
      <c r="T484" s="73"/>
      <c r="U484" s="73"/>
    </row>
    <row r="485">
      <c r="T485" s="73"/>
      <c r="U485" s="73"/>
    </row>
    <row r="486">
      <c r="T486" s="73"/>
      <c r="U486" s="73"/>
    </row>
    <row r="487">
      <c r="T487" s="73"/>
      <c r="U487" s="73"/>
    </row>
    <row r="488">
      <c r="T488" s="73"/>
      <c r="U488" s="73"/>
    </row>
    <row r="489">
      <c r="T489" s="73"/>
      <c r="U489" s="73"/>
    </row>
    <row r="490">
      <c r="T490" s="73"/>
      <c r="U490" s="73"/>
    </row>
    <row r="491">
      <c r="T491" s="73"/>
      <c r="U491" s="73"/>
    </row>
    <row r="492">
      <c r="T492" s="73"/>
      <c r="U492" s="73"/>
    </row>
    <row r="493">
      <c r="T493" s="73"/>
      <c r="U493" s="73"/>
    </row>
    <row r="494">
      <c r="T494" s="73"/>
      <c r="U494" s="73"/>
    </row>
    <row r="495">
      <c r="T495" s="73"/>
      <c r="U495" s="73"/>
    </row>
    <row r="496">
      <c r="T496" s="73"/>
      <c r="U496" s="73"/>
    </row>
    <row r="497">
      <c r="T497" s="73"/>
      <c r="U497" s="73"/>
    </row>
    <row r="498">
      <c r="T498" s="73"/>
      <c r="U498" s="73"/>
    </row>
    <row r="499">
      <c r="T499" s="73"/>
      <c r="U499" s="73"/>
    </row>
    <row r="500">
      <c r="T500" s="73"/>
      <c r="U500" s="73"/>
    </row>
    <row r="501">
      <c r="T501" s="73"/>
      <c r="U501" s="73"/>
    </row>
    <row r="502">
      <c r="T502" s="73"/>
      <c r="U502" s="73"/>
    </row>
    <row r="503">
      <c r="T503" s="73"/>
      <c r="U503" s="73"/>
    </row>
    <row r="504">
      <c r="T504" s="73"/>
      <c r="U504" s="73"/>
    </row>
    <row r="505">
      <c r="T505" s="73"/>
      <c r="U505" s="73"/>
    </row>
    <row r="506">
      <c r="T506" s="73"/>
      <c r="U506" s="73"/>
    </row>
    <row r="507">
      <c r="T507" s="73"/>
      <c r="U507" s="73"/>
    </row>
    <row r="508">
      <c r="T508" s="73"/>
      <c r="U508" s="73"/>
    </row>
    <row r="509">
      <c r="T509" s="73"/>
      <c r="U509" s="73"/>
    </row>
    <row r="510">
      <c r="T510" s="73"/>
      <c r="U510" s="73"/>
    </row>
    <row r="511">
      <c r="T511" s="73"/>
      <c r="U511" s="73"/>
    </row>
    <row r="512">
      <c r="T512" s="73"/>
      <c r="U512" s="73"/>
    </row>
    <row r="513">
      <c r="T513" s="73"/>
      <c r="U513" s="73"/>
    </row>
    <row r="514">
      <c r="T514" s="73"/>
      <c r="U514" s="73"/>
    </row>
    <row r="515">
      <c r="T515" s="73"/>
      <c r="U515" s="73"/>
    </row>
    <row r="516">
      <c r="T516" s="73"/>
      <c r="U516" s="73"/>
    </row>
    <row r="517">
      <c r="T517" s="73"/>
      <c r="U517" s="73"/>
    </row>
    <row r="518">
      <c r="T518" s="73"/>
      <c r="U518" s="73"/>
    </row>
    <row r="519">
      <c r="T519" s="73"/>
      <c r="U519" s="73"/>
    </row>
    <row r="520">
      <c r="T520" s="73"/>
      <c r="U520" s="73"/>
    </row>
    <row r="521">
      <c r="T521" s="73"/>
      <c r="U521" s="73"/>
    </row>
    <row r="522">
      <c r="T522" s="73"/>
      <c r="U522" s="73"/>
    </row>
    <row r="523">
      <c r="T523" s="73"/>
      <c r="U523" s="73"/>
    </row>
    <row r="524">
      <c r="T524" s="73"/>
      <c r="U524" s="73"/>
    </row>
    <row r="525">
      <c r="T525" s="73"/>
      <c r="U525" s="73"/>
    </row>
    <row r="526">
      <c r="T526" s="73"/>
      <c r="U526" s="73"/>
    </row>
    <row r="527">
      <c r="T527" s="73"/>
      <c r="U527" s="73"/>
    </row>
    <row r="528">
      <c r="T528" s="73"/>
      <c r="U528" s="73"/>
    </row>
    <row r="529">
      <c r="T529" s="73"/>
      <c r="U529" s="73"/>
    </row>
    <row r="530">
      <c r="T530" s="73"/>
      <c r="U530" s="73"/>
    </row>
    <row r="531">
      <c r="T531" s="73"/>
      <c r="U531" s="73"/>
    </row>
    <row r="532">
      <c r="T532" s="73"/>
      <c r="U532" s="73"/>
    </row>
    <row r="533">
      <c r="T533" s="73"/>
      <c r="U533" s="73"/>
    </row>
    <row r="534">
      <c r="T534" s="73"/>
      <c r="U534" s="73"/>
    </row>
    <row r="535">
      <c r="T535" s="73"/>
      <c r="U535" s="73"/>
    </row>
    <row r="536">
      <c r="T536" s="73"/>
      <c r="U536" s="73"/>
    </row>
    <row r="537">
      <c r="T537" s="73"/>
      <c r="U537" s="73"/>
    </row>
    <row r="538">
      <c r="T538" s="73"/>
      <c r="U538" s="73"/>
    </row>
    <row r="539">
      <c r="T539" s="73"/>
      <c r="U539" s="73"/>
    </row>
    <row r="540">
      <c r="T540" s="73"/>
      <c r="U540" s="73"/>
    </row>
    <row r="541">
      <c r="T541" s="73"/>
      <c r="U541" s="73"/>
    </row>
    <row r="542">
      <c r="T542" s="73"/>
      <c r="U542" s="73"/>
    </row>
    <row r="543">
      <c r="T543" s="73"/>
      <c r="U543" s="73"/>
    </row>
    <row r="544">
      <c r="T544" s="73"/>
      <c r="U544" s="73"/>
    </row>
    <row r="545">
      <c r="T545" s="73"/>
      <c r="U545" s="73"/>
    </row>
    <row r="546">
      <c r="T546" s="73"/>
      <c r="U546" s="73"/>
    </row>
    <row r="547">
      <c r="T547" s="73"/>
      <c r="U547" s="73"/>
    </row>
    <row r="548">
      <c r="T548" s="73"/>
      <c r="U548" s="73"/>
    </row>
    <row r="549">
      <c r="T549" s="73"/>
      <c r="U549" s="73"/>
    </row>
    <row r="550">
      <c r="T550" s="73"/>
      <c r="U550" s="73"/>
    </row>
    <row r="551">
      <c r="T551" s="73"/>
      <c r="U551" s="73"/>
    </row>
    <row r="552">
      <c r="T552" s="73"/>
      <c r="U552" s="73"/>
    </row>
    <row r="553">
      <c r="T553" s="73"/>
      <c r="U553" s="73"/>
    </row>
    <row r="554">
      <c r="T554" s="73"/>
      <c r="U554" s="73"/>
    </row>
    <row r="555">
      <c r="T555" s="73"/>
      <c r="U555" s="73"/>
    </row>
    <row r="556">
      <c r="T556" s="73"/>
      <c r="U556" s="73"/>
    </row>
    <row r="557">
      <c r="T557" s="73"/>
      <c r="U557" s="73"/>
    </row>
    <row r="558">
      <c r="T558" s="73"/>
      <c r="U558" s="73"/>
    </row>
    <row r="559">
      <c r="T559" s="73"/>
      <c r="U559" s="73"/>
    </row>
    <row r="560">
      <c r="T560" s="73"/>
      <c r="U560" s="73"/>
    </row>
    <row r="561">
      <c r="T561" s="73"/>
      <c r="U561" s="73"/>
    </row>
    <row r="562">
      <c r="T562" s="73"/>
      <c r="U562" s="73"/>
    </row>
    <row r="563">
      <c r="T563" s="73"/>
      <c r="U563" s="73"/>
    </row>
    <row r="564">
      <c r="T564" s="73"/>
      <c r="U564" s="73"/>
    </row>
    <row r="565">
      <c r="T565" s="73"/>
      <c r="U565" s="73"/>
    </row>
    <row r="566">
      <c r="T566" s="73"/>
      <c r="U566" s="73"/>
    </row>
    <row r="567">
      <c r="T567" s="73"/>
      <c r="U567" s="73"/>
    </row>
    <row r="568">
      <c r="T568" s="73"/>
      <c r="U568" s="73"/>
    </row>
    <row r="569">
      <c r="T569" s="73"/>
      <c r="U569" s="73"/>
    </row>
    <row r="570">
      <c r="T570" s="73"/>
      <c r="U570" s="73"/>
    </row>
    <row r="571">
      <c r="T571" s="73"/>
      <c r="U571" s="73"/>
    </row>
    <row r="572">
      <c r="T572" s="73"/>
      <c r="U572" s="73"/>
    </row>
    <row r="573">
      <c r="T573" s="73"/>
      <c r="U573" s="73"/>
    </row>
    <row r="574">
      <c r="T574" s="73"/>
      <c r="U574" s="73"/>
    </row>
    <row r="575">
      <c r="T575" s="73"/>
      <c r="U575" s="73"/>
    </row>
    <row r="576">
      <c r="T576" s="73"/>
      <c r="U576" s="73"/>
    </row>
    <row r="577">
      <c r="T577" s="73"/>
      <c r="U577" s="73"/>
    </row>
    <row r="578">
      <c r="T578" s="73"/>
      <c r="U578" s="73"/>
    </row>
    <row r="579">
      <c r="T579" s="73"/>
      <c r="U579" s="73"/>
    </row>
    <row r="580">
      <c r="T580" s="73"/>
      <c r="U580" s="73"/>
    </row>
    <row r="581">
      <c r="T581" s="73"/>
      <c r="U581" s="73"/>
    </row>
    <row r="582">
      <c r="T582" s="73"/>
      <c r="U582" s="73"/>
    </row>
    <row r="583">
      <c r="T583" s="73"/>
      <c r="U583" s="73"/>
    </row>
    <row r="584">
      <c r="T584" s="73"/>
      <c r="U584" s="73"/>
    </row>
    <row r="585">
      <c r="T585" s="73"/>
      <c r="U585" s="73"/>
    </row>
    <row r="586">
      <c r="T586" s="73"/>
      <c r="U586" s="73"/>
    </row>
    <row r="587">
      <c r="T587" s="73"/>
      <c r="U587" s="73"/>
    </row>
    <row r="588">
      <c r="T588" s="73"/>
      <c r="U588" s="73"/>
    </row>
    <row r="589">
      <c r="T589" s="73"/>
      <c r="U589" s="73"/>
    </row>
    <row r="590">
      <c r="T590" s="73"/>
      <c r="U590" s="73"/>
    </row>
    <row r="591">
      <c r="T591" s="73"/>
      <c r="U591" s="73"/>
    </row>
    <row r="592">
      <c r="T592" s="73"/>
      <c r="U592" s="73"/>
    </row>
    <row r="593">
      <c r="T593" s="73"/>
      <c r="U593" s="73"/>
    </row>
    <row r="594">
      <c r="T594" s="73"/>
      <c r="U594" s="73"/>
    </row>
    <row r="595">
      <c r="T595" s="73"/>
      <c r="U595" s="73"/>
    </row>
    <row r="596">
      <c r="T596" s="73"/>
      <c r="U596" s="73"/>
    </row>
    <row r="597">
      <c r="T597" s="73"/>
      <c r="U597" s="73"/>
    </row>
    <row r="598">
      <c r="T598" s="73"/>
      <c r="U598" s="73"/>
    </row>
    <row r="599">
      <c r="T599" s="73"/>
      <c r="U599" s="73"/>
    </row>
    <row r="600">
      <c r="T600" s="73"/>
      <c r="U600" s="73"/>
    </row>
    <row r="601">
      <c r="T601" s="73"/>
      <c r="U601" s="73"/>
    </row>
    <row r="602">
      <c r="T602" s="73"/>
      <c r="U602" s="73"/>
    </row>
    <row r="603">
      <c r="T603" s="73"/>
      <c r="U603" s="73"/>
    </row>
    <row r="604">
      <c r="T604" s="73"/>
      <c r="U604" s="73"/>
    </row>
    <row r="605">
      <c r="T605" s="73"/>
      <c r="U605" s="73"/>
    </row>
    <row r="606">
      <c r="T606" s="73"/>
      <c r="U606" s="73"/>
    </row>
    <row r="607">
      <c r="T607" s="73"/>
      <c r="U607" s="73"/>
    </row>
    <row r="608">
      <c r="T608" s="73"/>
      <c r="U608" s="73"/>
    </row>
    <row r="609">
      <c r="T609" s="73"/>
      <c r="U609" s="73"/>
    </row>
    <row r="610">
      <c r="T610" s="73"/>
      <c r="U610" s="73"/>
    </row>
    <row r="611">
      <c r="T611" s="73"/>
      <c r="U611" s="73"/>
    </row>
    <row r="612">
      <c r="T612" s="73"/>
      <c r="U612" s="73"/>
    </row>
    <row r="613">
      <c r="T613" s="73"/>
      <c r="U613" s="73"/>
    </row>
    <row r="614">
      <c r="T614" s="73"/>
      <c r="U614" s="73"/>
    </row>
    <row r="615">
      <c r="T615" s="73"/>
      <c r="U615" s="73"/>
    </row>
    <row r="616">
      <c r="T616" s="73"/>
      <c r="U616" s="73"/>
    </row>
    <row r="617">
      <c r="T617" s="73"/>
      <c r="U617" s="73"/>
    </row>
    <row r="618">
      <c r="T618" s="73"/>
      <c r="U618" s="73"/>
    </row>
    <row r="619">
      <c r="T619" s="73"/>
      <c r="U619" s="73"/>
    </row>
    <row r="620">
      <c r="T620" s="73"/>
      <c r="U620" s="73"/>
    </row>
    <row r="621">
      <c r="T621" s="73"/>
      <c r="U621" s="73"/>
    </row>
    <row r="622">
      <c r="T622" s="73"/>
      <c r="U622" s="73"/>
    </row>
    <row r="623">
      <c r="T623" s="73"/>
      <c r="U623" s="73"/>
    </row>
    <row r="624">
      <c r="T624" s="73"/>
      <c r="U624" s="73"/>
    </row>
    <row r="625">
      <c r="T625" s="73"/>
      <c r="U625" s="73"/>
    </row>
    <row r="626">
      <c r="T626" s="73"/>
      <c r="U626" s="73"/>
    </row>
    <row r="627">
      <c r="T627" s="73"/>
      <c r="U627" s="73"/>
    </row>
    <row r="628">
      <c r="T628" s="73"/>
      <c r="U628" s="73"/>
    </row>
    <row r="629">
      <c r="T629" s="73"/>
      <c r="U629" s="73"/>
    </row>
    <row r="630">
      <c r="T630" s="73"/>
      <c r="U630" s="73"/>
    </row>
    <row r="631">
      <c r="T631" s="73"/>
      <c r="U631" s="73"/>
    </row>
    <row r="632">
      <c r="T632" s="73"/>
      <c r="U632" s="73"/>
    </row>
    <row r="633">
      <c r="T633" s="73"/>
      <c r="U633" s="73"/>
    </row>
    <row r="634">
      <c r="T634" s="73"/>
      <c r="U634" s="73"/>
    </row>
    <row r="635">
      <c r="T635" s="73"/>
      <c r="U635" s="73"/>
    </row>
    <row r="636">
      <c r="T636" s="73"/>
      <c r="U636" s="73"/>
    </row>
    <row r="637">
      <c r="T637" s="73"/>
      <c r="U637" s="73"/>
    </row>
    <row r="638">
      <c r="T638" s="73"/>
      <c r="U638" s="73"/>
    </row>
    <row r="639">
      <c r="T639" s="73"/>
      <c r="U639" s="73"/>
    </row>
    <row r="640">
      <c r="T640" s="73"/>
      <c r="U640" s="73"/>
    </row>
    <row r="641">
      <c r="T641" s="73"/>
      <c r="U641" s="73"/>
    </row>
    <row r="642">
      <c r="T642" s="73"/>
      <c r="U642" s="73"/>
    </row>
    <row r="643">
      <c r="T643" s="73"/>
      <c r="U643" s="73"/>
    </row>
    <row r="644">
      <c r="T644" s="73"/>
      <c r="U644" s="73"/>
    </row>
    <row r="645">
      <c r="T645" s="73"/>
      <c r="U645" s="73"/>
    </row>
    <row r="646">
      <c r="T646" s="73"/>
      <c r="U646" s="73"/>
    </row>
    <row r="647">
      <c r="T647" s="73"/>
      <c r="U647" s="73"/>
    </row>
    <row r="648">
      <c r="T648" s="73"/>
      <c r="U648" s="73"/>
    </row>
    <row r="649">
      <c r="T649" s="73"/>
      <c r="U649" s="73"/>
    </row>
    <row r="650">
      <c r="T650" s="73"/>
      <c r="U650" s="73"/>
    </row>
    <row r="651">
      <c r="T651" s="73"/>
      <c r="U651" s="73"/>
    </row>
    <row r="652">
      <c r="T652" s="73"/>
      <c r="U652" s="73"/>
    </row>
    <row r="653">
      <c r="T653" s="73"/>
      <c r="U653" s="73"/>
    </row>
    <row r="654">
      <c r="T654" s="73"/>
      <c r="U654" s="73"/>
    </row>
    <row r="655">
      <c r="T655" s="73"/>
      <c r="U655" s="73"/>
    </row>
    <row r="656">
      <c r="T656" s="73"/>
      <c r="U656" s="73"/>
    </row>
    <row r="657">
      <c r="T657" s="73"/>
      <c r="U657" s="73"/>
    </row>
    <row r="658">
      <c r="T658" s="73"/>
      <c r="U658" s="73"/>
    </row>
    <row r="659">
      <c r="T659" s="73"/>
      <c r="U659" s="73"/>
    </row>
    <row r="660">
      <c r="T660" s="73"/>
      <c r="U660" s="73"/>
    </row>
    <row r="661">
      <c r="T661" s="73"/>
      <c r="U661" s="73"/>
    </row>
    <row r="662">
      <c r="T662" s="73"/>
      <c r="U662" s="73"/>
    </row>
    <row r="663">
      <c r="T663" s="73"/>
      <c r="U663" s="73"/>
    </row>
    <row r="664">
      <c r="T664" s="73"/>
      <c r="U664" s="73"/>
    </row>
    <row r="665">
      <c r="T665" s="73"/>
      <c r="U665" s="73"/>
    </row>
    <row r="666">
      <c r="T666" s="73"/>
      <c r="U666" s="73"/>
    </row>
    <row r="667">
      <c r="T667" s="73"/>
      <c r="U667" s="73"/>
    </row>
    <row r="668">
      <c r="T668" s="73"/>
      <c r="U668" s="73"/>
    </row>
    <row r="669">
      <c r="T669" s="73"/>
      <c r="U669" s="73"/>
    </row>
    <row r="670">
      <c r="T670" s="73"/>
      <c r="U670" s="73"/>
    </row>
    <row r="671">
      <c r="T671" s="73"/>
      <c r="U671" s="73"/>
    </row>
    <row r="672">
      <c r="T672" s="73"/>
      <c r="U672" s="73"/>
    </row>
    <row r="673">
      <c r="T673" s="73"/>
      <c r="U673" s="73"/>
    </row>
    <row r="674">
      <c r="T674" s="73"/>
      <c r="U674" s="73"/>
    </row>
    <row r="675">
      <c r="T675" s="73"/>
      <c r="U675" s="73"/>
    </row>
    <row r="676">
      <c r="T676" s="73"/>
      <c r="U676" s="73"/>
    </row>
    <row r="677">
      <c r="T677" s="73"/>
      <c r="U677" s="73"/>
    </row>
    <row r="678">
      <c r="T678" s="73"/>
      <c r="U678" s="73"/>
    </row>
    <row r="679">
      <c r="T679" s="73"/>
      <c r="U679" s="73"/>
    </row>
    <row r="680">
      <c r="T680" s="73"/>
      <c r="U680" s="73"/>
    </row>
    <row r="681">
      <c r="T681" s="73"/>
      <c r="U681" s="73"/>
    </row>
    <row r="682">
      <c r="T682" s="73"/>
      <c r="U682" s="73"/>
    </row>
    <row r="683">
      <c r="T683" s="73"/>
      <c r="U683" s="73"/>
    </row>
    <row r="684">
      <c r="T684" s="73"/>
      <c r="U684" s="73"/>
    </row>
    <row r="685">
      <c r="T685" s="73"/>
      <c r="U685" s="73"/>
    </row>
    <row r="686">
      <c r="T686" s="73"/>
      <c r="U686" s="73"/>
    </row>
    <row r="687">
      <c r="T687" s="73"/>
      <c r="U687" s="73"/>
    </row>
    <row r="688">
      <c r="T688" s="73"/>
      <c r="U688" s="73"/>
    </row>
    <row r="689">
      <c r="T689" s="73"/>
      <c r="U689" s="73"/>
    </row>
    <row r="690">
      <c r="T690" s="73"/>
      <c r="U690" s="73"/>
    </row>
    <row r="691">
      <c r="T691" s="73"/>
      <c r="U691" s="73"/>
    </row>
    <row r="692">
      <c r="T692" s="73"/>
      <c r="U692" s="73"/>
    </row>
    <row r="693">
      <c r="T693" s="73"/>
      <c r="U693" s="73"/>
    </row>
    <row r="694">
      <c r="T694" s="73"/>
      <c r="U694" s="73"/>
    </row>
    <row r="695">
      <c r="T695" s="73"/>
      <c r="U695" s="73"/>
    </row>
    <row r="696">
      <c r="T696" s="73"/>
      <c r="U696" s="73"/>
    </row>
    <row r="697">
      <c r="T697" s="73"/>
      <c r="U697" s="73"/>
    </row>
    <row r="698">
      <c r="T698" s="73"/>
      <c r="U698" s="73"/>
    </row>
    <row r="699">
      <c r="T699" s="73"/>
      <c r="U699" s="73"/>
    </row>
    <row r="700">
      <c r="T700" s="73"/>
      <c r="U700" s="73"/>
    </row>
    <row r="701">
      <c r="T701" s="73"/>
      <c r="U701" s="73"/>
    </row>
    <row r="702">
      <c r="T702" s="73"/>
      <c r="U702" s="73"/>
    </row>
    <row r="703">
      <c r="T703" s="73"/>
      <c r="U703" s="73"/>
    </row>
    <row r="704">
      <c r="T704" s="73"/>
      <c r="U704" s="73"/>
    </row>
    <row r="705">
      <c r="T705" s="73"/>
      <c r="U705" s="73"/>
    </row>
    <row r="706">
      <c r="T706" s="73"/>
      <c r="U706" s="73"/>
    </row>
    <row r="707">
      <c r="T707" s="73"/>
      <c r="U707" s="73"/>
    </row>
    <row r="708">
      <c r="T708" s="73"/>
      <c r="U708" s="73"/>
    </row>
    <row r="709">
      <c r="T709" s="73"/>
      <c r="U709" s="73"/>
    </row>
    <row r="710">
      <c r="T710" s="73"/>
      <c r="U710" s="73"/>
    </row>
    <row r="711">
      <c r="T711" s="73"/>
      <c r="U711" s="73"/>
    </row>
    <row r="712">
      <c r="T712" s="73"/>
      <c r="U712" s="73"/>
    </row>
    <row r="713">
      <c r="T713" s="73"/>
      <c r="U713" s="73"/>
    </row>
    <row r="714">
      <c r="T714" s="73"/>
      <c r="U714" s="73"/>
    </row>
    <row r="715">
      <c r="T715" s="73"/>
      <c r="U715" s="73"/>
    </row>
    <row r="716">
      <c r="T716" s="73"/>
      <c r="U716" s="73"/>
    </row>
    <row r="717">
      <c r="T717" s="73"/>
      <c r="U717" s="73"/>
    </row>
    <row r="718">
      <c r="T718" s="73"/>
      <c r="U718" s="73"/>
    </row>
    <row r="719">
      <c r="T719" s="73"/>
      <c r="U719" s="73"/>
    </row>
    <row r="720">
      <c r="T720" s="73"/>
      <c r="U720" s="73"/>
    </row>
    <row r="721">
      <c r="T721" s="73"/>
      <c r="U721" s="73"/>
    </row>
    <row r="722">
      <c r="T722" s="73"/>
      <c r="U722" s="73"/>
    </row>
    <row r="723">
      <c r="T723" s="73"/>
      <c r="U723" s="73"/>
    </row>
    <row r="724">
      <c r="T724" s="73"/>
      <c r="U724" s="73"/>
    </row>
    <row r="725">
      <c r="T725" s="73"/>
      <c r="U725" s="73"/>
    </row>
    <row r="726">
      <c r="T726" s="73"/>
      <c r="U726" s="73"/>
    </row>
    <row r="727">
      <c r="T727" s="73"/>
      <c r="U727" s="73"/>
    </row>
    <row r="728">
      <c r="T728" s="73"/>
      <c r="U728" s="73"/>
    </row>
    <row r="729">
      <c r="T729" s="73"/>
      <c r="U729" s="73"/>
    </row>
    <row r="730">
      <c r="T730" s="73"/>
      <c r="U730" s="73"/>
    </row>
    <row r="731">
      <c r="T731" s="73"/>
      <c r="U731" s="73"/>
    </row>
    <row r="732">
      <c r="T732" s="73"/>
      <c r="U732" s="73"/>
    </row>
    <row r="733">
      <c r="T733" s="73"/>
      <c r="U733" s="73"/>
    </row>
    <row r="734">
      <c r="T734" s="73"/>
      <c r="U734" s="73"/>
    </row>
    <row r="735">
      <c r="T735" s="73"/>
      <c r="U735" s="73"/>
    </row>
    <row r="736">
      <c r="T736" s="73"/>
      <c r="U736" s="73"/>
    </row>
    <row r="737">
      <c r="T737" s="73"/>
      <c r="U737" s="73"/>
    </row>
    <row r="738">
      <c r="T738" s="73"/>
      <c r="U738" s="73"/>
    </row>
    <row r="739">
      <c r="T739" s="73"/>
      <c r="U739" s="73"/>
    </row>
    <row r="740">
      <c r="T740" s="73"/>
      <c r="U740" s="73"/>
    </row>
    <row r="741">
      <c r="T741" s="73"/>
      <c r="U741" s="73"/>
    </row>
    <row r="742">
      <c r="T742" s="73"/>
      <c r="U742" s="73"/>
    </row>
    <row r="743">
      <c r="T743" s="73"/>
      <c r="U743" s="73"/>
    </row>
    <row r="744">
      <c r="T744" s="73"/>
      <c r="U744" s="73"/>
    </row>
    <row r="745">
      <c r="T745" s="73"/>
      <c r="U745" s="73"/>
    </row>
    <row r="746">
      <c r="T746" s="73"/>
      <c r="U746" s="73"/>
    </row>
    <row r="747">
      <c r="T747" s="73"/>
      <c r="U747" s="73"/>
    </row>
    <row r="748">
      <c r="T748" s="73"/>
      <c r="U748" s="73"/>
    </row>
    <row r="749">
      <c r="T749" s="73"/>
      <c r="U749" s="73"/>
    </row>
    <row r="750">
      <c r="T750" s="73"/>
      <c r="U750" s="73"/>
    </row>
    <row r="751">
      <c r="T751" s="73"/>
      <c r="U751" s="73"/>
    </row>
    <row r="752">
      <c r="T752" s="73"/>
      <c r="U752" s="73"/>
    </row>
    <row r="753">
      <c r="T753" s="73"/>
      <c r="U753" s="73"/>
    </row>
    <row r="754">
      <c r="T754" s="73"/>
      <c r="U754" s="73"/>
    </row>
    <row r="755">
      <c r="T755" s="73"/>
      <c r="U755" s="73"/>
    </row>
    <row r="756">
      <c r="T756" s="73"/>
      <c r="U756" s="73"/>
    </row>
    <row r="757">
      <c r="T757" s="73"/>
      <c r="U757" s="73"/>
    </row>
    <row r="758">
      <c r="T758" s="73"/>
      <c r="U758" s="73"/>
    </row>
    <row r="759">
      <c r="T759" s="73"/>
      <c r="U759" s="73"/>
    </row>
    <row r="760">
      <c r="T760" s="73"/>
      <c r="U760" s="73"/>
    </row>
    <row r="761">
      <c r="T761" s="73"/>
      <c r="U761" s="73"/>
    </row>
    <row r="762">
      <c r="T762" s="73"/>
      <c r="U762" s="73"/>
    </row>
    <row r="763">
      <c r="T763" s="73"/>
      <c r="U763" s="73"/>
    </row>
    <row r="764">
      <c r="T764" s="73"/>
      <c r="U764" s="73"/>
    </row>
    <row r="765">
      <c r="T765" s="73"/>
      <c r="U765" s="73"/>
    </row>
    <row r="766">
      <c r="T766" s="73"/>
      <c r="U766" s="73"/>
    </row>
    <row r="767">
      <c r="T767" s="73"/>
      <c r="U767" s="73"/>
    </row>
    <row r="768">
      <c r="T768" s="73"/>
      <c r="U768" s="73"/>
    </row>
    <row r="769">
      <c r="T769" s="73"/>
      <c r="U769" s="73"/>
    </row>
    <row r="770">
      <c r="T770" s="73"/>
      <c r="U770" s="73"/>
    </row>
    <row r="771">
      <c r="T771" s="73"/>
      <c r="U771" s="73"/>
    </row>
    <row r="772">
      <c r="T772" s="73"/>
      <c r="U772" s="73"/>
    </row>
    <row r="773">
      <c r="T773" s="73"/>
      <c r="U773" s="73"/>
    </row>
    <row r="774">
      <c r="T774" s="73"/>
      <c r="U774" s="73"/>
    </row>
    <row r="775">
      <c r="T775" s="73"/>
      <c r="U775" s="73"/>
    </row>
    <row r="776">
      <c r="T776" s="73"/>
      <c r="U776" s="73"/>
    </row>
    <row r="777">
      <c r="T777" s="73"/>
      <c r="U777" s="73"/>
    </row>
    <row r="778">
      <c r="T778" s="73"/>
      <c r="U778" s="73"/>
    </row>
    <row r="779">
      <c r="T779" s="73"/>
      <c r="U779" s="73"/>
    </row>
    <row r="780">
      <c r="T780" s="73"/>
      <c r="U780" s="73"/>
    </row>
    <row r="781">
      <c r="T781" s="73"/>
      <c r="U781" s="73"/>
    </row>
    <row r="782">
      <c r="T782" s="73"/>
      <c r="U782" s="73"/>
    </row>
    <row r="783">
      <c r="T783" s="73"/>
      <c r="U783" s="73"/>
    </row>
    <row r="784">
      <c r="T784" s="73"/>
      <c r="U784" s="73"/>
    </row>
    <row r="785">
      <c r="T785" s="73"/>
      <c r="U785" s="73"/>
    </row>
    <row r="786">
      <c r="T786" s="73"/>
      <c r="U786" s="73"/>
    </row>
    <row r="787">
      <c r="T787" s="73"/>
      <c r="U787" s="73"/>
    </row>
    <row r="788">
      <c r="T788" s="73"/>
      <c r="U788" s="73"/>
    </row>
    <row r="789">
      <c r="T789" s="73"/>
      <c r="U789" s="73"/>
    </row>
    <row r="790">
      <c r="T790" s="73"/>
      <c r="U790" s="73"/>
    </row>
    <row r="791">
      <c r="T791" s="73"/>
      <c r="U791" s="73"/>
    </row>
    <row r="792">
      <c r="T792" s="73"/>
      <c r="U792" s="73"/>
    </row>
    <row r="793">
      <c r="T793" s="73"/>
      <c r="U793" s="73"/>
    </row>
    <row r="794">
      <c r="T794" s="73"/>
      <c r="U794" s="73"/>
    </row>
    <row r="795">
      <c r="T795" s="73"/>
      <c r="U795" s="73"/>
    </row>
    <row r="796">
      <c r="T796" s="73"/>
      <c r="U796" s="73"/>
    </row>
    <row r="797">
      <c r="T797" s="73"/>
      <c r="U797" s="73"/>
    </row>
    <row r="798">
      <c r="T798" s="73"/>
      <c r="U798" s="73"/>
    </row>
    <row r="799">
      <c r="T799" s="73"/>
      <c r="U799" s="73"/>
    </row>
    <row r="800">
      <c r="T800" s="73"/>
      <c r="U800" s="73"/>
    </row>
    <row r="801">
      <c r="T801" s="73"/>
      <c r="U801" s="73"/>
    </row>
    <row r="802">
      <c r="T802" s="73"/>
      <c r="U802" s="73"/>
    </row>
    <row r="803">
      <c r="T803" s="73"/>
      <c r="U803" s="73"/>
    </row>
    <row r="804">
      <c r="T804" s="73"/>
      <c r="U804" s="73"/>
    </row>
    <row r="805">
      <c r="T805" s="73"/>
      <c r="U805" s="73"/>
    </row>
    <row r="806">
      <c r="T806" s="73"/>
      <c r="U806" s="73"/>
    </row>
    <row r="807">
      <c r="T807" s="73"/>
      <c r="U807" s="73"/>
    </row>
    <row r="808">
      <c r="T808" s="73"/>
      <c r="U808" s="73"/>
    </row>
    <row r="809">
      <c r="T809" s="73"/>
      <c r="U809" s="73"/>
    </row>
    <row r="810">
      <c r="T810" s="73"/>
      <c r="U810" s="73"/>
    </row>
    <row r="811">
      <c r="T811" s="73"/>
      <c r="U811" s="73"/>
    </row>
    <row r="812">
      <c r="T812" s="73"/>
      <c r="U812" s="73"/>
    </row>
    <row r="813">
      <c r="T813" s="73"/>
      <c r="U813" s="73"/>
    </row>
    <row r="814">
      <c r="T814" s="73"/>
      <c r="U814" s="73"/>
    </row>
    <row r="815">
      <c r="T815" s="73"/>
      <c r="U815" s="73"/>
    </row>
    <row r="816">
      <c r="T816" s="73"/>
      <c r="U816" s="73"/>
    </row>
    <row r="817">
      <c r="T817" s="73"/>
      <c r="U817" s="73"/>
    </row>
    <row r="818">
      <c r="T818" s="73"/>
      <c r="U818" s="73"/>
    </row>
    <row r="819">
      <c r="T819" s="73"/>
      <c r="U819" s="73"/>
    </row>
    <row r="820">
      <c r="T820" s="73"/>
      <c r="U820" s="73"/>
    </row>
    <row r="821">
      <c r="T821" s="73"/>
      <c r="U821" s="73"/>
    </row>
    <row r="822">
      <c r="T822" s="73"/>
      <c r="U822" s="73"/>
    </row>
    <row r="823">
      <c r="T823" s="73"/>
      <c r="U823" s="73"/>
    </row>
    <row r="824">
      <c r="T824" s="73"/>
      <c r="U824" s="73"/>
    </row>
    <row r="825">
      <c r="T825" s="73"/>
      <c r="U825" s="73"/>
    </row>
    <row r="826">
      <c r="T826" s="73"/>
      <c r="U826" s="73"/>
    </row>
    <row r="827">
      <c r="T827" s="73"/>
      <c r="U827" s="73"/>
    </row>
    <row r="828">
      <c r="T828" s="73"/>
      <c r="U828" s="73"/>
    </row>
    <row r="829">
      <c r="T829" s="73"/>
      <c r="U829" s="73"/>
    </row>
    <row r="830">
      <c r="T830" s="73"/>
      <c r="U830" s="73"/>
    </row>
    <row r="831">
      <c r="T831" s="73"/>
      <c r="U831" s="73"/>
    </row>
    <row r="832">
      <c r="T832" s="73"/>
      <c r="U832" s="73"/>
    </row>
    <row r="833">
      <c r="T833" s="73"/>
      <c r="U833" s="73"/>
    </row>
    <row r="834">
      <c r="T834" s="73"/>
      <c r="U834" s="73"/>
    </row>
    <row r="835">
      <c r="T835" s="73"/>
      <c r="U835" s="73"/>
    </row>
    <row r="836">
      <c r="T836" s="73"/>
      <c r="U836" s="73"/>
    </row>
    <row r="837">
      <c r="T837" s="73"/>
      <c r="U837" s="73"/>
    </row>
    <row r="838">
      <c r="T838" s="73"/>
      <c r="U838" s="73"/>
    </row>
    <row r="839">
      <c r="T839" s="73"/>
      <c r="U839" s="73"/>
    </row>
    <row r="840">
      <c r="T840" s="73"/>
      <c r="U840" s="73"/>
    </row>
    <row r="841">
      <c r="T841" s="73"/>
      <c r="U841" s="73"/>
    </row>
    <row r="842">
      <c r="T842" s="73"/>
      <c r="U842" s="73"/>
    </row>
    <row r="843">
      <c r="T843" s="73"/>
      <c r="U843" s="73"/>
    </row>
    <row r="844">
      <c r="T844" s="73"/>
      <c r="U844" s="73"/>
    </row>
    <row r="845">
      <c r="T845" s="73"/>
      <c r="U845" s="73"/>
    </row>
    <row r="846">
      <c r="T846" s="73"/>
      <c r="U846" s="73"/>
    </row>
    <row r="847">
      <c r="T847" s="73"/>
      <c r="U847" s="73"/>
    </row>
    <row r="848">
      <c r="T848" s="73"/>
      <c r="U848" s="73"/>
    </row>
    <row r="849">
      <c r="T849" s="73"/>
      <c r="U849" s="73"/>
    </row>
    <row r="850">
      <c r="T850" s="73"/>
      <c r="U850" s="73"/>
    </row>
    <row r="851">
      <c r="T851" s="73"/>
      <c r="U851" s="73"/>
    </row>
    <row r="852">
      <c r="T852" s="73"/>
      <c r="U852" s="73"/>
    </row>
    <row r="853">
      <c r="T853" s="73"/>
      <c r="U853" s="73"/>
    </row>
    <row r="854">
      <c r="T854" s="73"/>
      <c r="U854" s="73"/>
    </row>
    <row r="855">
      <c r="T855" s="73"/>
      <c r="U855" s="73"/>
    </row>
    <row r="856">
      <c r="T856" s="73"/>
      <c r="U856" s="73"/>
    </row>
    <row r="857">
      <c r="T857" s="73"/>
      <c r="U857" s="73"/>
    </row>
    <row r="858">
      <c r="T858" s="73"/>
      <c r="U858" s="73"/>
    </row>
    <row r="859">
      <c r="T859" s="73"/>
      <c r="U859" s="73"/>
    </row>
    <row r="860">
      <c r="T860" s="73"/>
      <c r="U860" s="73"/>
    </row>
    <row r="861">
      <c r="T861" s="73"/>
      <c r="U861" s="73"/>
    </row>
    <row r="862">
      <c r="T862" s="73"/>
      <c r="U862" s="73"/>
    </row>
    <row r="863">
      <c r="T863" s="73"/>
      <c r="U863" s="73"/>
    </row>
    <row r="864">
      <c r="T864" s="73"/>
      <c r="U864" s="73"/>
    </row>
    <row r="865">
      <c r="T865" s="73"/>
      <c r="U865" s="73"/>
    </row>
    <row r="866">
      <c r="T866" s="73"/>
      <c r="U866" s="73"/>
    </row>
    <row r="867">
      <c r="T867" s="73"/>
      <c r="U867" s="73"/>
    </row>
    <row r="868">
      <c r="T868" s="73"/>
      <c r="U868" s="73"/>
    </row>
    <row r="869">
      <c r="T869" s="73"/>
      <c r="U869" s="73"/>
    </row>
    <row r="870">
      <c r="T870" s="73"/>
      <c r="U870" s="73"/>
    </row>
    <row r="871">
      <c r="T871" s="73"/>
      <c r="U871" s="73"/>
    </row>
    <row r="872">
      <c r="T872" s="73"/>
      <c r="U872" s="73"/>
    </row>
    <row r="873">
      <c r="T873" s="73"/>
      <c r="U873" s="73"/>
    </row>
    <row r="874">
      <c r="T874" s="73"/>
      <c r="U874" s="73"/>
    </row>
    <row r="875">
      <c r="T875" s="73"/>
      <c r="U875" s="73"/>
    </row>
    <row r="876">
      <c r="T876" s="73"/>
      <c r="U876" s="73"/>
    </row>
    <row r="877">
      <c r="T877" s="73"/>
      <c r="U877" s="73"/>
    </row>
    <row r="878">
      <c r="T878" s="73"/>
      <c r="U878" s="73"/>
    </row>
    <row r="879">
      <c r="T879" s="73"/>
      <c r="U879" s="73"/>
    </row>
    <row r="880">
      <c r="T880" s="73"/>
      <c r="U880" s="73"/>
    </row>
    <row r="881">
      <c r="T881" s="73"/>
      <c r="U881" s="73"/>
    </row>
    <row r="882">
      <c r="T882" s="73"/>
      <c r="U882" s="73"/>
    </row>
    <row r="883">
      <c r="T883" s="73"/>
      <c r="U883" s="73"/>
    </row>
    <row r="884">
      <c r="T884" s="73"/>
      <c r="U884" s="73"/>
    </row>
    <row r="885">
      <c r="T885" s="73"/>
      <c r="U885" s="73"/>
    </row>
    <row r="886">
      <c r="T886" s="73"/>
      <c r="U886" s="73"/>
    </row>
    <row r="887">
      <c r="T887" s="73"/>
      <c r="U887" s="73"/>
    </row>
    <row r="888">
      <c r="T888" s="73"/>
      <c r="U888" s="73"/>
    </row>
    <row r="889">
      <c r="T889" s="73"/>
      <c r="U889" s="73"/>
    </row>
    <row r="890">
      <c r="T890" s="73"/>
      <c r="U890" s="73"/>
    </row>
    <row r="891">
      <c r="T891" s="73"/>
      <c r="U891" s="73"/>
    </row>
    <row r="892">
      <c r="T892" s="73"/>
      <c r="U892" s="73"/>
    </row>
    <row r="893">
      <c r="T893" s="73"/>
      <c r="U893" s="73"/>
    </row>
    <row r="894">
      <c r="T894" s="73"/>
      <c r="U894" s="73"/>
    </row>
    <row r="895">
      <c r="T895" s="73"/>
      <c r="U895" s="73"/>
    </row>
    <row r="896">
      <c r="T896" s="73"/>
      <c r="U896" s="73"/>
    </row>
    <row r="897">
      <c r="T897" s="73"/>
      <c r="U897" s="73"/>
    </row>
    <row r="898">
      <c r="T898" s="73"/>
      <c r="U898" s="73"/>
    </row>
    <row r="899">
      <c r="T899" s="73"/>
      <c r="U899" s="73"/>
    </row>
    <row r="900">
      <c r="T900" s="73"/>
      <c r="U900" s="73"/>
    </row>
    <row r="901">
      <c r="T901" s="73"/>
      <c r="U901" s="73"/>
    </row>
    <row r="902">
      <c r="T902" s="73"/>
      <c r="U902" s="73"/>
    </row>
    <row r="903">
      <c r="T903" s="73"/>
      <c r="U903" s="73"/>
    </row>
    <row r="904">
      <c r="T904" s="73"/>
      <c r="U904" s="73"/>
    </row>
    <row r="905">
      <c r="T905" s="73"/>
      <c r="U905" s="73"/>
    </row>
    <row r="906">
      <c r="T906" s="73"/>
      <c r="U906" s="73"/>
    </row>
    <row r="907">
      <c r="T907" s="73"/>
      <c r="U907" s="73"/>
    </row>
    <row r="908">
      <c r="T908" s="73"/>
      <c r="U908" s="73"/>
    </row>
    <row r="909">
      <c r="T909" s="73"/>
      <c r="U909" s="73"/>
    </row>
    <row r="910">
      <c r="T910" s="73"/>
      <c r="U910" s="73"/>
    </row>
    <row r="911">
      <c r="T911" s="73"/>
      <c r="U911" s="73"/>
    </row>
    <row r="912">
      <c r="T912" s="73"/>
      <c r="U912" s="73"/>
    </row>
    <row r="913">
      <c r="T913" s="73"/>
      <c r="U913" s="73"/>
    </row>
    <row r="914">
      <c r="T914" s="73"/>
      <c r="U914" s="73"/>
    </row>
    <row r="915">
      <c r="T915" s="73"/>
      <c r="U915" s="73"/>
    </row>
    <row r="916">
      <c r="T916" s="73"/>
      <c r="U916" s="73"/>
    </row>
    <row r="917">
      <c r="T917" s="73"/>
      <c r="U917" s="73"/>
    </row>
    <row r="918">
      <c r="T918" s="73"/>
      <c r="U918" s="73"/>
    </row>
    <row r="919">
      <c r="T919" s="73"/>
      <c r="U919" s="73"/>
    </row>
    <row r="920">
      <c r="T920" s="73"/>
      <c r="U920" s="73"/>
    </row>
    <row r="921">
      <c r="T921" s="73"/>
      <c r="U921" s="73"/>
    </row>
    <row r="922">
      <c r="T922" s="73"/>
      <c r="U922" s="73"/>
    </row>
    <row r="923">
      <c r="T923" s="73"/>
      <c r="U923" s="73"/>
    </row>
    <row r="924">
      <c r="T924" s="73"/>
      <c r="U924" s="73"/>
    </row>
    <row r="925">
      <c r="T925" s="73"/>
      <c r="U925" s="73"/>
    </row>
    <row r="926">
      <c r="T926" s="73"/>
      <c r="U926" s="73"/>
    </row>
    <row r="927">
      <c r="T927" s="73"/>
      <c r="U927" s="73"/>
    </row>
    <row r="928">
      <c r="T928" s="73"/>
      <c r="U928" s="73"/>
    </row>
    <row r="929">
      <c r="T929" s="73"/>
      <c r="U929" s="73"/>
    </row>
    <row r="930">
      <c r="T930" s="73"/>
      <c r="U930" s="73"/>
    </row>
    <row r="931">
      <c r="T931" s="73"/>
      <c r="U931" s="73"/>
    </row>
    <row r="932">
      <c r="T932" s="73"/>
      <c r="U932" s="73"/>
    </row>
    <row r="933">
      <c r="T933" s="73"/>
      <c r="U933" s="73"/>
    </row>
    <row r="934">
      <c r="T934" s="73"/>
      <c r="U934" s="73"/>
    </row>
    <row r="935">
      <c r="T935" s="73"/>
      <c r="U935" s="73"/>
    </row>
    <row r="936">
      <c r="T936" s="73"/>
      <c r="U936" s="73"/>
    </row>
    <row r="937">
      <c r="T937" s="73"/>
      <c r="U937" s="73"/>
    </row>
    <row r="938">
      <c r="T938" s="73"/>
      <c r="U938" s="73"/>
    </row>
    <row r="939">
      <c r="T939" s="73"/>
      <c r="U939" s="73"/>
    </row>
    <row r="940">
      <c r="T940" s="73"/>
      <c r="U940" s="73"/>
    </row>
    <row r="941">
      <c r="T941" s="73"/>
      <c r="U941" s="73"/>
    </row>
    <row r="942">
      <c r="T942" s="73"/>
      <c r="U942" s="73"/>
    </row>
    <row r="943">
      <c r="T943" s="73"/>
      <c r="U943" s="73"/>
    </row>
    <row r="944">
      <c r="T944" s="73"/>
      <c r="U944" s="73"/>
    </row>
    <row r="945">
      <c r="T945" s="73"/>
      <c r="U945" s="73"/>
    </row>
    <row r="946">
      <c r="T946" s="73"/>
      <c r="U946" s="73"/>
    </row>
    <row r="947">
      <c r="T947" s="73"/>
      <c r="U947" s="73"/>
    </row>
    <row r="948">
      <c r="T948" s="73"/>
      <c r="U948" s="73"/>
    </row>
    <row r="949">
      <c r="T949" s="73"/>
      <c r="U949" s="73"/>
    </row>
    <row r="950">
      <c r="T950" s="73"/>
      <c r="U950" s="73"/>
    </row>
    <row r="951">
      <c r="T951" s="73"/>
      <c r="U951" s="73"/>
    </row>
    <row r="952">
      <c r="T952" s="73"/>
      <c r="U952" s="73"/>
    </row>
    <row r="953">
      <c r="T953" s="73"/>
      <c r="U953" s="73"/>
    </row>
  </sheetData>
  <mergeCells count="72">
    <mergeCell ref="A78:A79"/>
    <mergeCell ref="B78:B79"/>
    <mergeCell ref="A80:A81"/>
    <mergeCell ref="B80:B81"/>
    <mergeCell ref="B82:B89"/>
    <mergeCell ref="A74:A77"/>
    <mergeCell ref="B74:B77"/>
    <mergeCell ref="A82:A89"/>
    <mergeCell ref="A90:A93"/>
    <mergeCell ref="A94:A97"/>
    <mergeCell ref="A100:A102"/>
    <mergeCell ref="B100:B102"/>
    <mergeCell ref="A103:A104"/>
    <mergeCell ref="B103:B104"/>
    <mergeCell ref="A105:A106"/>
    <mergeCell ref="B105:B106"/>
    <mergeCell ref="A107:A110"/>
    <mergeCell ref="B107:B110"/>
    <mergeCell ref="A112:A127"/>
    <mergeCell ref="B112:B127"/>
    <mergeCell ref="A128:A131"/>
    <mergeCell ref="B128:B131"/>
    <mergeCell ref="A132:A138"/>
    <mergeCell ref="B132:B138"/>
    <mergeCell ref="A139:A140"/>
    <mergeCell ref="B139:B140"/>
    <mergeCell ref="B141:B142"/>
    <mergeCell ref="A141:A142"/>
    <mergeCell ref="A143:A149"/>
    <mergeCell ref="B143:B149"/>
    <mergeCell ref="E1:G1"/>
    <mergeCell ref="H1:J1"/>
    <mergeCell ref="K1:M1"/>
    <mergeCell ref="N1:P1"/>
    <mergeCell ref="Q1:S1"/>
    <mergeCell ref="T1:V1"/>
    <mergeCell ref="B3:B5"/>
    <mergeCell ref="A3:A5"/>
    <mergeCell ref="A7:A9"/>
    <mergeCell ref="B7:B9"/>
    <mergeCell ref="A10:A11"/>
    <mergeCell ref="B10:B11"/>
    <mergeCell ref="A13:A15"/>
    <mergeCell ref="B13:B15"/>
    <mergeCell ref="A16:A19"/>
    <mergeCell ref="B16:B19"/>
    <mergeCell ref="A21:A22"/>
    <mergeCell ref="B21:B22"/>
    <mergeCell ref="B23:B24"/>
    <mergeCell ref="A23:A24"/>
    <mergeCell ref="A26:A30"/>
    <mergeCell ref="B26:B30"/>
    <mergeCell ref="A32:A33"/>
    <mergeCell ref="B32:B33"/>
    <mergeCell ref="A34:A35"/>
    <mergeCell ref="B34:B35"/>
    <mergeCell ref="A36:A38"/>
    <mergeCell ref="B36:B38"/>
    <mergeCell ref="A40:A41"/>
    <mergeCell ref="B40:B41"/>
    <mergeCell ref="A42:A49"/>
    <mergeCell ref="B42:B49"/>
    <mergeCell ref="A65:A68"/>
    <mergeCell ref="B65:B68"/>
    <mergeCell ref="A71:A72"/>
    <mergeCell ref="B71:B72"/>
    <mergeCell ref="A50:A53"/>
    <mergeCell ref="B50:B53"/>
    <mergeCell ref="A54:A64"/>
    <mergeCell ref="B54:B64"/>
    <mergeCell ref="B90:B93"/>
    <mergeCell ref="B94:B97"/>
  </mergeCells>
  <conditionalFormatting sqref="C3:C149">
    <cfRule type="expression" dxfId="0" priority="1">
      <formula>C3=INDIRECT("Sheet2!A"&amp;ROW())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72" t="str">
        <f>IFERROR(__xludf.DUMMYFUNCTION("IMPORTRANGE(""https://docs.google.com/spreadsheets/d/1GIEPXnjsjw7RClGwgOFVOrZemhlqY7jAMl7t2FNkvos"",""Sheet1!C1:C200"")"),"Individual Name")</f>
        <v>Individual Name</v>
      </c>
    </row>
    <row r="3">
      <c r="A3" s="72" t="str">
        <f>IFERROR(__xludf.DUMMYFUNCTION("""COMPUTED_VALUE"""),"Krishna Kishore Prabhu")</f>
        <v>Krishna Kishore Prabhu</v>
      </c>
    </row>
    <row r="4">
      <c r="A4" s="72" t="str">
        <f>IFERROR(__xludf.DUMMYFUNCTION("""COMPUTED_VALUE"""),"Kiranmai Pola Mataji")</f>
        <v>Kiranmai Pola Mataji</v>
      </c>
    </row>
    <row r="5">
      <c r="A5" s="72" t="str">
        <f>IFERROR(__xludf.DUMMYFUNCTION("""COMPUTED_VALUE"""),"Abhishek Pola Prabhu")</f>
        <v>Abhishek Pola Prabhu</v>
      </c>
    </row>
    <row r="6">
      <c r="A6" s="72" t="str">
        <f>IFERROR(__xludf.DUMMYFUNCTION("""COMPUTED_VALUE"""),"Maheedhar Prabhu")</f>
        <v>Maheedhar Prabhu</v>
      </c>
    </row>
    <row r="7">
      <c r="A7" s="72" t="str">
        <f>IFERROR(__xludf.DUMMYFUNCTION("""COMPUTED_VALUE"""),"Amal Mahaprabhu Prabhu")</f>
        <v>Amal Mahaprabhu Prabhu</v>
      </c>
    </row>
    <row r="8">
      <c r="A8" s="72" t="str">
        <f>IFERROR(__xludf.DUMMYFUNCTION("""COMPUTED_VALUE"""),"Svarupa Radhika Mataji")</f>
        <v>Svarupa Radhika Mataji</v>
      </c>
    </row>
    <row r="9">
      <c r="A9" s="72" t="str">
        <f>IFERROR(__xludf.DUMMYFUNCTION("""COMPUTED_VALUE"""),"Manirupa Gopika Mataji")</f>
        <v>Manirupa Gopika Mataji</v>
      </c>
    </row>
    <row r="10">
      <c r="A10" s="72" t="str">
        <f>IFERROR(__xludf.DUMMYFUNCTION("""COMPUTED_VALUE"""),"Advaita Praana Prabhu")</f>
        <v>Advaita Praana Prabhu</v>
      </c>
    </row>
    <row r="11">
      <c r="A11" s="72" t="str">
        <f>IFERROR(__xludf.DUMMYFUNCTION("""COMPUTED_VALUE"""),"Sarasija Mataji")</f>
        <v>Sarasija Mataji</v>
      </c>
    </row>
    <row r="12">
      <c r="A12" s="72" t="str">
        <f>IFERROR(__xludf.DUMMYFUNCTION("""COMPUTED_VALUE"""),"Saloni Kumari Mataji")</f>
        <v>Saloni Kumari Mataji</v>
      </c>
    </row>
    <row r="13">
      <c r="A13" s="72" t="str">
        <f>IFERROR(__xludf.DUMMYFUNCTION("""COMPUTED_VALUE"""),"Ninad Rajandekar Prabhu")</f>
        <v>Ninad Rajandekar Prabhu</v>
      </c>
    </row>
    <row r="14">
      <c r="A14" s="72" t="str">
        <f>IFERROR(__xludf.DUMMYFUNCTION("""COMPUTED_VALUE"""),"Ajey Rajandekar Prabhu")</f>
        <v>Ajey Rajandekar Prabhu</v>
      </c>
    </row>
    <row r="15">
      <c r="A15" s="72" t="str">
        <f>IFERROR(__xludf.DUMMYFUNCTION("""COMPUTED_VALUE"""),"Bhakti Rajandekar Mataji")</f>
        <v>Bhakti Rajandekar Mataji</v>
      </c>
    </row>
    <row r="16">
      <c r="A16" s="72" t="str">
        <f>IFERROR(__xludf.DUMMYFUNCTION("""COMPUTED_VALUE"""),"VVN Sai Lokesh Prabhu")</f>
        <v>VVN Sai Lokesh Prabhu</v>
      </c>
    </row>
    <row r="17">
      <c r="A17" s="72" t="str">
        <f>IFERROR(__xludf.DUMMYFUNCTION("""COMPUTED_VALUE"""),"V Kavya Mataji")</f>
        <v>V Kavya Mataji</v>
      </c>
    </row>
    <row r="18">
      <c r="A18" s="72" t="str">
        <f>IFERROR(__xludf.DUMMYFUNCTION("""COMPUTED_VALUE"""),"VSNS Appa Rao Prabhu")</f>
        <v>VSNS Appa Rao Prabhu</v>
      </c>
    </row>
    <row r="19">
      <c r="A19" s="72" t="str">
        <f>IFERROR(__xludf.DUMMYFUNCTION("""COMPUTED_VALUE"""),"V Venkata Lakshni Mataji")</f>
        <v>V Venkata Lakshni Mataji</v>
      </c>
    </row>
    <row r="20">
      <c r="A20" s="72" t="str">
        <f>IFERROR(__xludf.DUMMYFUNCTION("""COMPUTED_VALUE"""),"Sai Dheeraj Prabhu")</f>
        <v>Sai Dheeraj Prabhu</v>
      </c>
    </row>
    <row r="21">
      <c r="A21" s="72" t="str">
        <f>IFERROR(__xludf.DUMMYFUNCTION("""COMPUTED_VALUE"""),"Sreenivas Gupta Prabhu")</f>
        <v>Sreenivas Gupta Prabhu</v>
      </c>
    </row>
    <row r="22">
      <c r="A22" s="72" t="str">
        <f>IFERROR(__xludf.DUMMYFUNCTION("""COMPUTED_VALUE"""),"Vishnu Priyanka Mataji")</f>
        <v>Vishnu Priyanka Mataji</v>
      </c>
    </row>
    <row r="23">
      <c r="A23" s="72" t="str">
        <f>IFERROR(__xludf.DUMMYFUNCTION("""COMPUTED_VALUE"""),"Naga Varun Prabhu")</f>
        <v>Naga Varun Prabhu</v>
      </c>
    </row>
    <row r="24">
      <c r="A24" s="72" t="str">
        <f>IFERROR(__xludf.DUMMYFUNCTION("""COMPUTED_VALUE"""),"Manisha K Mataji")</f>
        <v>Manisha K Mataji</v>
      </c>
    </row>
    <row r="25">
      <c r="A25" s="72" t="str">
        <f>IFERROR(__xludf.DUMMYFUNCTION("""COMPUTED_VALUE"""),"Vignesh Prabhu")</f>
        <v>Vignesh Prabhu</v>
      </c>
    </row>
    <row r="26">
      <c r="A26" s="72" t="str">
        <f>IFERROR(__xludf.DUMMYFUNCTION("""COMPUTED_VALUE"""),"Santhosh Murarikar Prabhu")</f>
        <v>Santhosh Murarikar Prabhu</v>
      </c>
    </row>
    <row r="27">
      <c r="A27" s="72" t="str">
        <f>IFERROR(__xludf.DUMMYFUNCTION("""COMPUTED_VALUE"""),"Jansi Bai Murarikar Mataji")</f>
        <v>Jansi Bai Murarikar Mataji</v>
      </c>
    </row>
    <row r="28">
      <c r="A28" s="72" t="str">
        <f>IFERROR(__xludf.DUMMYFUNCTION("""COMPUTED_VALUE"""),"Vanshika Murarikar")</f>
        <v>Vanshika Murarikar</v>
      </c>
    </row>
    <row r="29">
      <c r="A29" s="72" t="str">
        <f>IFERROR(__xludf.DUMMYFUNCTION("""COMPUTED_VALUE"""),"Chaitrika Murarikar")</f>
        <v>Chaitrika Murarikar</v>
      </c>
    </row>
    <row r="30">
      <c r="A30" s="72" t="str">
        <f>IFERROR(__xludf.DUMMYFUNCTION("""COMPUTED_VALUE"""),"Anika Murarikar")</f>
        <v>Anika Murarikar</v>
      </c>
    </row>
    <row r="31">
      <c r="A31" s="72" t="str">
        <f>IFERROR(__xludf.DUMMYFUNCTION("""COMPUTED_VALUE"""),"Neeraj Alavelli Prabhu")</f>
        <v>Neeraj Alavelli Prabhu</v>
      </c>
    </row>
    <row r="32">
      <c r="A32" s="72" t="str">
        <f>IFERROR(__xludf.DUMMYFUNCTION("""COMPUTED_VALUE"""),"Kritesh Prabhu")</f>
        <v>Kritesh Prabhu</v>
      </c>
    </row>
    <row r="33">
      <c r="A33" s="72" t="str">
        <f>IFERROR(__xludf.DUMMYFUNCTION("""COMPUTED_VALUE"""),"Divya Mataji")</f>
        <v>Divya Mataji</v>
      </c>
    </row>
    <row r="34">
      <c r="A34" s="72" t="str">
        <f>IFERROR(__xludf.DUMMYFUNCTION("""COMPUTED_VALUE"""),"Gopalkrishna Prabhu")</f>
        <v>Gopalkrishna Prabhu</v>
      </c>
    </row>
    <row r="35">
      <c r="A35" s="72" t="str">
        <f>IFERROR(__xludf.DUMMYFUNCTION("""COMPUTED_VALUE"""),"Vivek Prabhu")</f>
        <v>Vivek Prabhu</v>
      </c>
    </row>
    <row r="36">
      <c r="A36" s="72" t="str">
        <f>IFERROR(__xludf.DUMMYFUNCTION("""COMPUTED_VALUE"""),"Acyuta Kishor Prabhu")</f>
        <v>Acyuta Kishor Prabhu</v>
      </c>
    </row>
    <row r="37">
      <c r="A37" s="72" t="str">
        <f>IFERROR(__xludf.DUMMYFUNCTION("""COMPUTED_VALUE"""),"Vraja Premika Mataji")</f>
        <v>Vraja Premika Mataji</v>
      </c>
    </row>
    <row r="38">
      <c r="A38" s="72" t="str">
        <f>IFERROR(__xludf.DUMMYFUNCTION("""COMPUTED_VALUE"""),"Manjaree ")</f>
        <v>Manjaree </v>
      </c>
    </row>
    <row r="39">
      <c r="A39" s="72" t="str">
        <f>IFERROR(__xludf.DUMMYFUNCTION("""COMPUTED_VALUE"""),"Vrajesh Tanay Prabhu")</f>
        <v>Vrajesh Tanay Prabhu</v>
      </c>
    </row>
    <row r="40">
      <c r="A40" s="72" t="str">
        <f>IFERROR(__xludf.DUMMYFUNCTION("""COMPUTED_VALUE"""),"Rama Satyavathi Mataji")</f>
        <v>Rama Satyavathi Mataji</v>
      </c>
    </row>
    <row r="41">
      <c r="A41" s="72" t="str">
        <f>IFERROR(__xludf.DUMMYFUNCTION("""COMPUTED_VALUE"""),"Vijay Mukesh Prabhu")</f>
        <v>Vijay Mukesh Prabhu</v>
      </c>
    </row>
    <row r="42">
      <c r="A42" s="72" t="str">
        <f>IFERROR(__xludf.DUMMYFUNCTION("""COMPUTED_VALUE"""),"Amoghaveerya Prabhu")</f>
        <v>Amoghaveerya Prabhu</v>
      </c>
    </row>
    <row r="43">
      <c r="A43" s="72" t="str">
        <f>IFERROR(__xludf.DUMMYFUNCTION("""COMPUTED_VALUE"""),"Maheswari Mataji")</f>
        <v>Maheswari Mataji</v>
      </c>
    </row>
    <row r="44">
      <c r="A44" s="72" t="str">
        <f>IFERROR(__xludf.DUMMYFUNCTION("""COMPUTED_VALUE"""),"Kishori Radha")</f>
        <v>Kishori Radha</v>
      </c>
    </row>
    <row r="45">
      <c r="A45" s="72" t="str">
        <f>IFERROR(__xludf.DUMMYFUNCTION("""COMPUTED_VALUE"""),"E Rani Mataji")</f>
        <v>E Rani Mataji</v>
      </c>
    </row>
    <row r="46">
      <c r="A46" s="72" t="str">
        <f>IFERROR(__xludf.DUMMYFUNCTION("""COMPUTED_VALUE"""),"Ch Ravi Varma Prabhu")</f>
        <v>Ch Ravi Varma Prabhu</v>
      </c>
    </row>
    <row r="47">
      <c r="A47" s="72" t="str">
        <f>IFERROR(__xludf.DUMMYFUNCTION("""COMPUTED_VALUE"""),"Ch Srivalli Mataji")</f>
        <v>Ch Srivalli Mataji</v>
      </c>
    </row>
    <row r="48">
      <c r="A48" s="72" t="str">
        <f>IFERROR(__xludf.DUMMYFUNCTION("""COMPUTED_VALUE"""),"Ch Meenakshi")</f>
        <v>Ch Meenakshi</v>
      </c>
    </row>
    <row r="49">
      <c r="A49" s="72" t="str">
        <f>IFERROR(__xludf.DUMMYFUNCTION("""COMPUTED_VALUE"""),"Ch Radha Bruhathi")</f>
        <v>Ch Radha Bruhathi</v>
      </c>
    </row>
    <row r="50">
      <c r="A50" s="72" t="str">
        <f>IFERROR(__xludf.DUMMYFUNCTION("""COMPUTED_VALUE"""),"Sitanatha Prasada Prabhu")</f>
        <v>Sitanatha Prasada Prabhu</v>
      </c>
    </row>
    <row r="51">
      <c r="A51" s="72" t="str">
        <f>IFERROR(__xludf.DUMMYFUNCTION("""COMPUTED_VALUE"""),"Nagendra Rao Prabhu")</f>
        <v>Nagendra Rao Prabhu</v>
      </c>
    </row>
    <row r="52">
      <c r="A52" s="72" t="str">
        <f>IFERROR(__xludf.DUMMYFUNCTION("""COMPUTED_VALUE"""),"Leelavathi Mataji")</f>
        <v>Leelavathi Mataji</v>
      </c>
    </row>
    <row r="53">
      <c r="A53" s="72" t="str">
        <f>IFERROR(__xludf.DUMMYFUNCTION("""COMPUTED_VALUE"""),"Durga Lakshmi K Mataji")</f>
        <v>Durga Lakshmi K Mataji</v>
      </c>
    </row>
    <row r="54">
      <c r="A54" s="72" t="str">
        <f>IFERROR(__xludf.DUMMYFUNCTION("""COMPUTED_VALUE"""),"Meghana Aeligeti Mataji")</f>
        <v>Meghana Aeligeti Mataji</v>
      </c>
    </row>
    <row r="55">
      <c r="A55" s="72" t="str">
        <f>IFERROR(__xludf.DUMMYFUNCTION("""COMPUTED_VALUE"""),"Greeshma Aeligeti Mataji")</f>
        <v>Greeshma Aeligeti Mataji</v>
      </c>
    </row>
    <row r="56">
      <c r="A56" s="72" t="str">
        <f>IFERROR(__xludf.DUMMYFUNCTION("""COMPUTED_VALUE"""),"Meghana Thallapally Mataji")</f>
        <v>Meghana Thallapally Mataji</v>
      </c>
    </row>
    <row r="57">
      <c r="A57" s="72" t="str">
        <f>IFERROR(__xludf.DUMMYFUNCTION("""COMPUTED_VALUE"""),"Sindhu Harika Mataji")</f>
        <v>Sindhu Harika Mataji</v>
      </c>
    </row>
    <row r="58">
      <c r="A58" s="72" t="str">
        <f>IFERROR(__xludf.DUMMYFUNCTION("""COMPUTED_VALUE"""),"Swathi Mataji")</f>
        <v>Swathi Mataji</v>
      </c>
    </row>
    <row r="59">
      <c r="A59" s="72" t="str">
        <f>IFERROR(__xludf.DUMMYFUNCTION("""COMPUTED_VALUE"""),"Samsrutha Karnati Mataji")</f>
        <v>Samsrutha Karnati Mataji</v>
      </c>
    </row>
    <row r="60">
      <c r="A60" s="72" t="str">
        <f>IFERROR(__xludf.DUMMYFUNCTION("""COMPUTED_VALUE"""),"Karnati Nagamani  Mataji")</f>
        <v>Karnati Nagamani  Mataji</v>
      </c>
    </row>
    <row r="61">
      <c r="A61" s="72" t="str">
        <f>IFERROR(__xludf.DUMMYFUNCTION("""COMPUTED_VALUE"""),"Sonam Rajput Mataji")</f>
        <v>Sonam Rajput Mataji</v>
      </c>
    </row>
    <row r="62">
      <c r="A62" s="72" t="str">
        <f>IFERROR(__xludf.DUMMYFUNCTION("""COMPUTED_VALUE"""),"Vishal Singh Prabhu")</f>
        <v>Vishal Singh Prabhu</v>
      </c>
    </row>
    <row r="63">
      <c r="A63" s="72" t="str">
        <f>IFERROR(__xludf.DUMMYFUNCTION("""COMPUTED_VALUE"""),"Pranshu Sharma Prabhu")</f>
        <v>Pranshu Sharma Prabhu</v>
      </c>
    </row>
    <row r="64">
      <c r="A64" s="72" t="str">
        <f>IFERROR(__xludf.DUMMYFUNCTION("""COMPUTED_VALUE"""),"Keerthana Thallapally Mataji")</f>
        <v>Keerthana Thallapally Mataji</v>
      </c>
    </row>
    <row r="65">
      <c r="A65" s="72" t="str">
        <f>IFERROR(__xludf.DUMMYFUNCTION("""COMPUTED_VALUE"""),"Badam Suresh Goud Prabhu")</f>
        <v>Badam Suresh Goud Prabhu</v>
      </c>
    </row>
    <row r="66">
      <c r="A66" s="72" t="str">
        <f>IFERROR(__xludf.DUMMYFUNCTION("""COMPUTED_VALUE"""),"Gaddam Sujatha Mataji")</f>
        <v>Gaddam Sujatha Mataji</v>
      </c>
    </row>
    <row r="67">
      <c r="A67" s="72" t="str">
        <f>IFERROR(__xludf.DUMMYFUNCTION("""COMPUTED_VALUE"""),"Datta Sai Vaibhav Prabhu")</f>
        <v>Datta Sai Vaibhav Prabhu</v>
      </c>
    </row>
    <row r="68">
      <c r="A68" s="72" t="str">
        <f>IFERROR(__xludf.DUMMYFUNCTION("""COMPUTED_VALUE"""),"Kartheek Sai Prabhu")</f>
        <v>Kartheek Sai Prabhu</v>
      </c>
    </row>
    <row r="69">
      <c r="A69" s="72" t="str">
        <f>IFERROR(__xludf.DUMMYFUNCTION("""COMPUTED_VALUE"""),"Kristam Preethika Mataji")</f>
        <v>Kristam Preethika Mataji</v>
      </c>
    </row>
    <row r="70">
      <c r="A70" s="72" t="str">
        <f>IFERROR(__xludf.DUMMYFUNCTION("""COMPUTED_VALUE"""),"Saurabh Tiwari Prabhu")</f>
        <v>Saurabh Tiwari Prabhu</v>
      </c>
    </row>
    <row r="71">
      <c r="A71" s="72" t="str">
        <f>IFERROR(__xludf.DUMMYFUNCTION("""COMPUTED_VALUE"""),"Surakhshitha Katha Mataji")</f>
        <v>Surakhshitha Katha Mataji</v>
      </c>
    </row>
    <row r="72">
      <c r="A72" s="72" t="str">
        <f>IFERROR(__xludf.DUMMYFUNCTION("""COMPUTED_VALUE"""),"Teja Reddy Katha Prabhu")</f>
        <v>Teja Reddy Katha Prabhu</v>
      </c>
    </row>
    <row r="73">
      <c r="A73" s="72" t="str">
        <f>IFERROR(__xludf.DUMMYFUNCTION("""COMPUTED_VALUE"""),"Giridhar Prabhu")</f>
        <v>Giridhar Prabhu</v>
      </c>
    </row>
    <row r="74">
      <c r="A74" s="72" t="str">
        <f>IFERROR(__xludf.DUMMYFUNCTION("""COMPUTED_VALUE"""),"Ruthvik Prabhu")</f>
        <v>Ruthvik Prabhu</v>
      </c>
    </row>
    <row r="75">
      <c r="A75" s="72" t="str">
        <f>IFERROR(__xludf.DUMMYFUNCTION("""COMPUTED_VALUE"""),"Nehal Mataji")</f>
        <v>Nehal Mataji</v>
      </c>
    </row>
    <row r="76">
      <c r="A76" s="72" t="str">
        <f>IFERROR(__xludf.DUMMYFUNCTION("""COMPUTED_VALUE"""),"Askani venkatramana Prabhu")</f>
        <v>Askani venkatramana Prabhu</v>
      </c>
    </row>
    <row r="77">
      <c r="A77" s="72" t="str">
        <f>IFERROR(__xludf.DUMMYFUNCTION("""COMPUTED_VALUE"""),"Ram prasad Prabhu")</f>
        <v>Ram prasad Prabhu</v>
      </c>
    </row>
    <row r="78">
      <c r="A78" s="72" t="str">
        <f>IFERROR(__xludf.DUMMYFUNCTION("""COMPUTED_VALUE"""),"K Venugopala Rao Prabhu")</f>
        <v>K Venugopala Rao Prabhu</v>
      </c>
    </row>
    <row r="79">
      <c r="A79" s="72" t="str">
        <f>IFERROR(__xludf.DUMMYFUNCTION("""COMPUTED_VALUE"""),"N Swarna Latha Mataji")</f>
        <v>N Swarna Latha Mataji</v>
      </c>
    </row>
    <row r="80">
      <c r="A80" s="72" t="str">
        <f>IFERROR(__xludf.DUMMYFUNCTION("""COMPUTED_VALUE"""),"Anjani kiran Prabhu")</f>
        <v>Anjani kiran Prabhu</v>
      </c>
    </row>
    <row r="81">
      <c r="A81" s="72" t="str">
        <f>IFERROR(__xludf.DUMMYFUNCTION("""COMPUTED_VALUE"""),"Charitha sree Mataji")</f>
        <v>Charitha sree Mataji</v>
      </c>
    </row>
    <row r="82">
      <c r="A82" s="72" t="str">
        <f>IFERROR(__xludf.DUMMYFUNCTION("""COMPUTED_VALUE"""),"Bhagya laxmi Mataji")</f>
        <v>Bhagya laxmi Mataji</v>
      </c>
    </row>
    <row r="83">
      <c r="A83" s="72" t="str">
        <f>IFERROR(__xludf.DUMMYFUNCTION("""COMPUTED_VALUE"""),"Jayamma Mataji")</f>
        <v>Jayamma Mataji</v>
      </c>
    </row>
    <row r="84">
      <c r="A84" s="72" t="str">
        <f>IFERROR(__xludf.DUMMYFUNCTION("""COMPUTED_VALUE"""),"Anitha Mataji")</f>
        <v>Anitha Mataji</v>
      </c>
    </row>
    <row r="85">
      <c r="A85" s="72" t="str">
        <f>IFERROR(__xludf.DUMMYFUNCTION("""COMPUTED_VALUE"""),"Nikitha Mataji")</f>
        <v>Nikitha Mataji</v>
      </c>
    </row>
    <row r="86">
      <c r="A86" s="72" t="str">
        <f>IFERROR(__xludf.DUMMYFUNCTION("""COMPUTED_VALUE"""),"Bagya Mataji")</f>
        <v>Bagya Mataji</v>
      </c>
    </row>
    <row r="87">
      <c r="A87" s="72" t="str">
        <f>IFERROR(__xludf.DUMMYFUNCTION("""COMPUTED_VALUE"""),"Mamatha Mataji")</f>
        <v>Mamatha Mataji</v>
      </c>
    </row>
    <row r="88">
      <c r="A88" s="72" t="str">
        <f>IFERROR(__xludf.DUMMYFUNCTION("""COMPUTED_VALUE"""),"Sirisha Mataji")</f>
        <v>Sirisha Mataji</v>
      </c>
    </row>
    <row r="89">
      <c r="A89" s="72" t="str">
        <f>IFERROR(__xludf.DUMMYFUNCTION("""COMPUTED_VALUE"""),"Surendar Prabhu")</f>
        <v>Surendar Prabhu</v>
      </c>
    </row>
    <row r="90">
      <c r="A90" s="72" t="str">
        <f>IFERROR(__xludf.DUMMYFUNCTION("""COMPUTED_VALUE"""),"Siva Sagar Prabhu")</f>
        <v>Siva Sagar Prabhu</v>
      </c>
    </row>
    <row r="91">
      <c r="A91" s="72" t="str">
        <f>IFERROR(__xludf.DUMMYFUNCTION("""COMPUTED_VALUE"""),"Anusha S Mataji")</f>
        <v>Anusha S Mataji</v>
      </c>
    </row>
    <row r="92">
      <c r="A92" s="72" t="str">
        <f>IFERROR(__xludf.DUMMYFUNCTION("""COMPUTED_VALUE"""),"Mahalakshmi Mataji")</f>
        <v>Mahalakshmi Mataji</v>
      </c>
    </row>
    <row r="93">
      <c r="A93" s="72" t="str">
        <f>IFERROR(__xludf.DUMMYFUNCTION("""COMPUTED_VALUE"""),"Padma Ch Mataji")</f>
        <v>Padma Ch Mataji</v>
      </c>
    </row>
    <row r="94">
      <c r="A94" s="72" t="str">
        <f>IFERROR(__xludf.DUMMYFUNCTION("""COMPUTED_VALUE"""),"Sdv applachari Prabhu")</f>
        <v>Sdv applachari Prabhu</v>
      </c>
    </row>
    <row r="95">
      <c r="A95" s="72" t="str">
        <f>IFERROR(__xludf.DUMMYFUNCTION("""COMPUTED_VALUE"""),"S Hema Lakshmi Mataji")</f>
        <v>S Hema Lakshmi Mataji</v>
      </c>
    </row>
    <row r="96">
      <c r="A96" s="72" t="str">
        <f>IFERROR(__xludf.DUMMYFUNCTION("""COMPUTED_VALUE"""),"S Krishna Kireeti Prabhu")</f>
        <v>S Krishna Kireeti Prabhu</v>
      </c>
    </row>
    <row r="97">
      <c r="A97" s="72" t="str">
        <f>IFERROR(__xludf.DUMMYFUNCTION("""COMPUTED_VALUE"""),"S Pallavi Mataji")</f>
        <v>S Pallavi Mataji</v>
      </c>
    </row>
    <row r="98">
      <c r="A98" s="72" t="str">
        <f>IFERROR(__xludf.DUMMYFUNCTION("""COMPUTED_VALUE"""),"Nangunuri Vishnu Teja Prabhu")</f>
        <v>Nangunuri Vishnu Teja Prabhu</v>
      </c>
    </row>
    <row r="99">
      <c r="A99" s="72" t="str">
        <f>IFERROR(__xludf.DUMMYFUNCTION("""COMPUTED_VALUE"""),"Tejeswar Reddy Atla Prabhu")</f>
        <v>Tejeswar Reddy Atla Prabhu</v>
      </c>
    </row>
    <row r="100">
      <c r="A100" s="72" t="str">
        <f>IFERROR(__xludf.DUMMYFUNCTION("""COMPUTED_VALUE"""),"Gummadavelli Meghana Mataji")</f>
        <v>Gummadavelli Meghana Mataji</v>
      </c>
    </row>
    <row r="101">
      <c r="A101" s="72" t="str">
        <f>IFERROR(__xludf.DUMMYFUNCTION("""COMPUTED_VALUE"""),"Gummadavelli Rajeshwari Mataji")</f>
        <v>Gummadavelli Rajeshwari Mataji</v>
      </c>
    </row>
    <row r="102">
      <c r="A102" s="72" t="str">
        <f>IFERROR(__xludf.DUMMYFUNCTION("""COMPUTED_VALUE"""),"Gummadavelli Akhila Mataji")</f>
        <v>Gummadavelli Akhila Mataji</v>
      </c>
    </row>
    <row r="103">
      <c r="A103" s="72" t="str">
        <f>IFERROR(__xludf.DUMMYFUNCTION("""COMPUTED_VALUE"""),"Rahul Vankadari Prabhu")</f>
        <v>Rahul Vankadari Prabhu</v>
      </c>
    </row>
    <row r="104">
      <c r="A104" s="72" t="str">
        <f>IFERROR(__xludf.DUMMYFUNCTION("""COMPUTED_VALUE"""),"Meghana Vecham Mataji")</f>
        <v>Meghana Vecham Mataji</v>
      </c>
    </row>
    <row r="105">
      <c r="A105" s="72" t="str">
        <f>IFERROR(__xludf.DUMMYFUNCTION("""COMPUTED_VALUE"""),"Konda Akash Prabhu")</f>
        <v>Konda Akash Prabhu</v>
      </c>
    </row>
    <row r="106">
      <c r="A106" s="72" t="str">
        <f>IFERROR(__xludf.DUMMYFUNCTION("""COMPUTED_VALUE"""),"Konda Bhumanna Prabhu")</f>
        <v>Konda Bhumanna Prabhu</v>
      </c>
    </row>
    <row r="107">
      <c r="A107" s="72" t="str">
        <f>IFERROR(__xludf.DUMMYFUNCTION("""COMPUTED_VALUE"""),"Pushpa Mataji")</f>
        <v>Pushpa Mataji</v>
      </c>
    </row>
    <row r="108">
      <c r="A108" s="72" t="str">
        <f>IFERROR(__xludf.DUMMYFUNCTION("""COMPUTED_VALUE"""),"K Vijaya Lakshmi  Mataji")</f>
        <v>K Vijaya Lakshmi  Mataji</v>
      </c>
    </row>
    <row r="109">
      <c r="A109" s="72" t="str">
        <f>IFERROR(__xludf.DUMMYFUNCTION("""COMPUTED_VALUE"""),"K Narasimha Prabhu")</f>
        <v>K Narasimha Prabhu</v>
      </c>
    </row>
    <row r="110">
      <c r="A110" s="72" t="str">
        <f>IFERROR(__xludf.DUMMYFUNCTION("""COMPUTED_VALUE"""),"K Nishal Prabhu")</f>
        <v>K Nishal Prabhu</v>
      </c>
    </row>
    <row r="111">
      <c r="A111" s="72" t="str">
        <f>IFERROR(__xludf.DUMMYFUNCTION("""COMPUTED_VALUE"""),"Sumanth Prabhu")</f>
        <v>Sumanth Prabhu</v>
      </c>
    </row>
    <row r="112">
      <c r="A112" s="72" t="str">
        <f>IFERROR(__xludf.DUMMYFUNCTION("""COMPUTED_VALUE"""),"Adwait Prabhu")</f>
        <v>Adwait Prabhu</v>
      </c>
    </row>
    <row r="113">
      <c r="A113" s="72" t="str">
        <f>IFERROR(__xludf.DUMMYFUNCTION("""COMPUTED_VALUE"""),"Chaitanya Prabhu")</f>
        <v>Chaitanya Prabhu</v>
      </c>
    </row>
    <row r="114">
      <c r="A114" s="72" t="str">
        <f>IFERROR(__xludf.DUMMYFUNCTION("""COMPUTED_VALUE"""),"Dhaval Prabhu")</f>
        <v>Dhaval Prabhu</v>
      </c>
    </row>
    <row r="115">
      <c r="A115" s="72" t="str">
        <f>IFERROR(__xludf.DUMMYFUNCTION("""COMPUTED_VALUE"""),"Harshit Prabhu")</f>
        <v>Harshit Prabhu</v>
      </c>
    </row>
    <row r="116">
      <c r="A116" s="72" t="str">
        <f>IFERROR(__xludf.DUMMYFUNCTION("""COMPUTED_VALUE"""),"Jaysimha Prabhu ")</f>
        <v>Jaysimha Prabhu </v>
      </c>
    </row>
    <row r="117">
      <c r="A117" s="72" t="str">
        <f>IFERROR(__xludf.DUMMYFUNCTION("""COMPUTED_VALUE"""),"Koushik Prabhu")</f>
        <v>Koushik Prabhu</v>
      </c>
    </row>
    <row r="118">
      <c r="A118" s="72" t="str">
        <f>IFERROR(__xludf.DUMMYFUNCTION("""COMPUTED_VALUE"""),"Narahari Prabhu")</f>
        <v>Narahari Prabhu</v>
      </c>
    </row>
    <row r="119">
      <c r="A119" s="72" t="str">
        <f>IFERROR(__xludf.DUMMYFUNCTION("""COMPUTED_VALUE"""),"PruthviRaj Prabhu")</f>
        <v>PruthviRaj Prabhu</v>
      </c>
    </row>
    <row r="120">
      <c r="A120" s="72" t="str">
        <f>IFERROR(__xludf.DUMMYFUNCTION("""COMPUTED_VALUE"""),"Puneet Prabhu")</f>
        <v>Puneet Prabhu</v>
      </c>
    </row>
    <row r="121">
      <c r="A121" s="72" t="str">
        <f>IFERROR(__xludf.DUMMYFUNCTION("""COMPUTED_VALUE"""),"Shivendra Prabhu")</f>
        <v>Shivendra Prabhu</v>
      </c>
    </row>
    <row r="122">
      <c r="A122" s="72" t="str">
        <f>IFERROR(__xludf.DUMMYFUNCTION("""COMPUTED_VALUE"""),"Subhang Prabhu")</f>
        <v>Subhang Prabhu</v>
      </c>
    </row>
    <row r="123">
      <c r="A123" s="72" t="str">
        <f>IFERROR(__xludf.DUMMYFUNCTION("""COMPUTED_VALUE"""),"Sukhdev Prabhu")</f>
        <v>Sukhdev Prabhu</v>
      </c>
    </row>
    <row r="124">
      <c r="A124" s="72" t="str">
        <f>IFERROR(__xludf.DUMMYFUNCTION("""COMPUTED_VALUE"""),"Susen Prabhu")</f>
        <v>Susen Prabhu</v>
      </c>
    </row>
    <row r="125">
      <c r="A125" s="72" t="str">
        <f>IFERROR(__xludf.DUMMYFUNCTION("""COMPUTED_VALUE"""),"Ved sharma Prabhu")</f>
        <v>Ved sharma Prabhu</v>
      </c>
    </row>
    <row r="126">
      <c r="A126" s="72" t="str">
        <f>IFERROR(__xludf.DUMMYFUNCTION("""COMPUTED_VALUE"""),"Daksh Prabhu")</f>
        <v>Daksh Prabhu</v>
      </c>
    </row>
    <row r="127">
      <c r="A127" s="72" t="str">
        <f>IFERROR(__xludf.DUMMYFUNCTION("""COMPUTED_VALUE"""),"Visvambhar Prabhu")</f>
        <v>Visvambhar Prabhu</v>
      </c>
    </row>
    <row r="128">
      <c r="A128" s="72" t="str">
        <f>IFERROR(__xludf.DUMMYFUNCTION("""COMPUTED_VALUE"""),"Neel Madhav Prabhu")</f>
        <v>Neel Madhav Prabhu</v>
      </c>
    </row>
    <row r="129">
      <c r="A129" s="72" t="str">
        <f>IFERROR(__xludf.DUMMYFUNCTION("""COMPUTED_VALUE"""),"Sony Mataji")</f>
        <v>Sony Mataji</v>
      </c>
    </row>
    <row r="130">
      <c r="A130" s="72" t="str">
        <f>IFERROR(__xludf.DUMMYFUNCTION("""COMPUTED_VALUE"""),"Sai Kriti")</f>
        <v>Sai Kriti</v>
      </c>
    </row>
    <row r="131">
      <c r="A131" s="72" t="str">
        <f>IFERROR(__xludf.DUMMYFUNCTION("""COMPUTED_VALUE"""),"Shourya")</f>
        <v>Shourya</v>
      </c>
    </row>
    <row r="132">
      <c r="A132" s="72" t="str">
        <f>IFERROR(__xludf.DUMMYFUNCTION("""COMPUTED_VALUE"""),"Rahul Rayal Prabhu")</f>
        <v>Rahul Rayal Prabhu</v>
      </c>
    </row>
    <row r="133">
      <c r="A133" s="72" t="str">
        <f>IFERROR(__xludf.DUMMYFUNCTION("""COMPUTED_VALUE"""),"Tanmay Agarwal Prabhu")</f>
        <v>Tanmay Agarwal Prabhu</v>
      </c>
    </row>
    <row r="134">
      <c r="A134" s="72" t="str">
        <f>IFERROR(__xludf.DUMMYFUNCTION("""COMPUTED_VALUE"""),"Asutosh Beuria Prabhu")</f>
        <v>Asutosh Beuria Prabhu</v>
      </c>
    </row>
    <row r="135">
      <c r="A135" s="72" t="str">
        <f>IFERROR(__xludf.DUMMYFUNCTION("""COMPUTED_VALUE"""),"Susmit Mishra Prabhu")</f>
        <v>Susmit Mishra Prabhu</v>
      </c>
    </row>
    <row r="136">
      <c r="A136" s="72" t="str">
        <f>IFERROR(__xludf.DUMMYFUNCTION("""COMPUTED_VALUE"""),"Nilanjan Prabhu")</f>
        <v>Nilanjan Prabhu</v>
      </c>
    </row>
    <row r="137">
      <c r="A137" s="72" t="str">
        <f>IFERROR(__xludf.DUMMYFUNCTION("""COMPUTED_VALUE"""),"Shashthidulal Prabhu")</f>
        <v>Shashthidulal Prabhu</v>
      </c>
    </row>
    <row r="138">
      <c r="A138" s="72" t="str">
        <f>IFERROR(__xludf.DUMMYFUNCTION("""COMPUTED_VALUE"""),"Nandita Mataji")</f>
        <v>Nandita Mataji</v>
      </c>
    </row>
    <row r="139">
      <c r="A139" s="72" t="str">
        <f>IFERROR(__xludf.DUMMYFUNCTION("""COMPUTED_VALUE"""),"B Sakitha Mataji")</f>
        <v>B Sakitha Mataji</v>
      </c>
    </row>
    <row r="140">
      <c r="A140" s="72" t="str">
        <f>IFERROR(__xludf.DUMMYFUNCTION("""COMPUTED_VALUE"""),"Radha Govinda ")</f>
        <v>Radha Govinda </v>
      </c>
    </row>
    <row r="141">
      <c r="A141" s="72" t="str">
        <f>IFERROR(__xludf.DUMMYFUNCTION("""COMPUTED_VALUE"""),"Vani S Panicker Matatji")</f>
        <v>Vani S Panicker Matatji</v>
      </c>
    </row>
    <row r="142">
      <c r="A142" s="72" t="str">
        <f>IFERROR(__xludf.DUMMYFUNCTION("""COMPUTED_VALUE"""),"Ahan Panicker")</f>
        <v>Ahan Panicker</v>
      </c>
    </row>
    <row r="143">
      <c r="A143" s="72" t="str">
        <f>IFERROR(__xludf.DUMMYFUNCTION("""COMPUTED_VALUE"""),"Sudāma Sakha Prabhu")</f>
        <v>Sudāma Sakha Prabhu</v>
      </c>
    </row>
    <row r="144">
      <c r="A144" s="72" t="str">
        <f>IFERROR(__xludf.DUMMYFUNCTION("""COMPUTED_VALUE"""),"Pranathi Mataji")</f>
        <v>Pranathi Mataji</v>
      </c>
    </row>
    <row r="145">
      <c r="A145" s="72" t="str">
        <f>IFERROR(__xludf.DUMMYFUNCTION("""COMPUTED_VALUE"""),"Achyuta Sevini ")</f>
        <v>Achyuta Sevini </v>
      </c>
    </row>
    <row r="146">
      <c r="A146" s="72" t="str">
        <f>IFERROR(__xludf.DUMMYFUNCTION("""COMPUTED_VALUE"""),"Bhavya sri Mataji")</f>
        <v>Bhavya sri Mataji</v>
      </c>
    </row>
    <row r="147">
      <c r="A147" s="72" t="str">
        <f>IFERROR(__xludf.DUMMYFUNCTION("""COMPUTED_VALUE"""),"Asmita Mataji")</f>
        <v>Asmita Mataji</v>
      </c>
    </row>
    <row r="148">
      <c r="A148" s="72" t="str">
        <f>IFERROR(__xludf.DUMMYFUNCTION("""COMPUTED_VALUE"""),"Bhagyavathi Mataji")</f>
        <v>Bhagyavathi Mataji</v>
      </c>
    </row>
    <row r="149">
      <c r="A149" s="72" t="str">
        <f>IFERROR(__xludf.DUMMYFUNCTION("""COMPUTED_VALUE"""),"Navya M Mataji")</f>
        <v>Navya M Mataji</v>
      </c>
    </row>
    <row r="150">
      <c r="A150" s="72"/>
    </row>
    <row r="151">
      <c r="A151" s="72"/>
    </row>
    <row r="152">
      <c r="A152" s="72"/>
    </row>
    <row r="153">
      <c r="A153" s="72"/>
    </row>
    <row r="154">
      <c r="A154" s="72"/>
    </row>
    <row r="155">
      <c r="A155" s="72"/>
    </row>
    <row r="156">
      <c r="A156" s="72"/>
    </row>
    <row r="157">
      <c r="A157" s="72"/>
    </row>
    <row r="158">
      <c r="A158" s="72"/>
    </row>
    <row r="159">
      <c r="A159" s="72"/>
    </row>
    <row r="160">
      <c r="A160" s="72"/>
    </row>
    <row r="161">
      <c r="A161" s="72"/>
    </row>
    <row r="162">
      <c r="A162" s="72"/>
    </row>
    <row r="163">
      <c r="A163" s="72"/>
    </row>
    <row r="164">
      <c r="A164" s="72"/>
    </row>
    <row r="165">
      <c r="A165" s="72"/>
    </row>
    <row r="166">
      <c r="A166" s="72"/>
    </row>
    <row r="167">
      <c r="A167" s="72"/>
    </row>
    <row r="168">
      <c r="A168" s="72"/>
    </row>
    <row r="169">
      <c r="A169" s="72"/>
    </row>
    <row r="170">
      <c r="A170" s="72"/>
    </row>
    <row r="171">
      <c r="A171" s="72"/>
    </row>
    <row r="172">
      <c r="A172" s="72"/>
    </row>
    <row r="173">
      <c r="A173" s="72"/>
    </row>
    <row r="174">
      <c r="A174" s="72"/>
    </row>
    <row r="175">
      <c r="A175" s="72"/>
    </row>
    <row r="176">
      <c r="A176" s="72"/>
    </row>
    <row r="177">
      <c r="A177" s="72"/>
    </row>
    <row r="178">
      <c r="A178" s="72"/>
    </row>
    <row r="179">
      <c r="A179" s="72"/>
    </row>
    <row r="180">
      <c r="A180" s="72"/>
    </row>
    <row r="181">
      <c r="A181" s="72"/>
    </row>
    <row r="182">
      <c r="A182" s="72"/>
    </row>
    <row r="183">
      <c r="A183" s="72"/>
    </row>
    <row r="184">
      <c r="A184" s="72"/>
    </row>
    <row r="185">
      <c r="A185" s="72"/>
    </row>
    <row r="186">
      <c r="A186" s="72"/>
    </row>
    <row r="187">
      <c r="A187" s="72"/>
    </row>
    <row r="188">
      <c r="A188" s="72"/>
    </row>
    <row r="189">
      <c r="A189" s="72"/>
    </row>
    <row r="190">
      <c r="A190" s="72"/>
    </row>
    <row r="191">
      <c r="A191" s="72"/>
    </row>
    <row r="192">
      <c r="A192" s="72"/>
    </row>
    <row r="193">
      <c r="A193" s="72"/>
    </row>
    <row r="194">
      <c r="A194" s="72"/>
    </row>
    <row r="195">
      <c r="A195" s="72"/>
    </row>
    <row r="196">
      <c r="A196" s="72"/>
    </row>
    <row r="197">
      <c r="A197" s="72"/>
    </row>
    <row r="198">
      <c r="A198" s="72"/>
    </row>
    <row r="199">
      <c r="A199" s="72"/>
    </row>
    <row r="200">
      <c r="A200" s="72"/>
    </row>
    <row r="201">
      <c r="A201" s="72"/>
    </row>
  </sheetData>
  <drawing r:id="rId1"/>
</worksheet>
</file>